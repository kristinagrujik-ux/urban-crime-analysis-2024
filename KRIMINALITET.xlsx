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worksheets/sheet1.xml" ContentType="application/vnd.openxmlformats-officedocument.spreadsheetml.workshee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drawings/drawing10.xml" ContentType="application/vnd.openxmlformats-officedocument.drawing+xml"/>
  <Override PartName="/xl/charts/chart24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18180" windowHeight="11760" tabRatio="710" activeTab="9"/>
  </bookViews>
  <sheets>
    <sheet name="Вкупен криминалитетот" sheetId="1" r:id="rId1"/>
    <sheet name="Недозволена трговија со дрога" sheetId="2" r:id="rId2"/>
    <sheet name="Криумчарење на мигранти" sheetId="3" r:id="rId3"/>
    <sheet name="Организиран криминал" sheetId="4" r:id="rId4"/>
    <sheet name="Кривични дела против државата" sheetId="5" r:id="rId5"/>
    <sheet name="Убиства" sheetId="6" r:id="rId6"/>
    <sheet name="Насилство" sheetId="7" r:id="rId7"/>
    <sheet name="Tрговија со луѓе" sheetId="8" r:id="rId8"/>
    <sheet name="Тешки кражби" sheetId="9" r:id="rId9"/>
    <sheet name="Корупција" sheetId="10" r:id="rId10"/>
  </sheets>
  <calcPr calcId="124519"/>
</workbook>
</file>

<file path=xl/calcChain.xml><?xml version="1.0" encoding="utf-8"?>
<calcChain xmlns="http://schemas.openxmlformats.org/spreadsheetml/2006/main">
  <c r="N11" i="5"/>
  <c r="N7"/>
  <c r="H3" i="7"/>
  <c r="M15" i="4"/>
  <c r="K15"/>
  <c r="I15"/>
  <c r="G15"/>
  <c r="I12" i="1"/>
  <c r="H12"/>
  <c r="G12"/>
  <c r="F12"/>
  <c r="E12"/>
  <c r="D12"/>
  <c r="C12"/>
  <c r="I15" i="10"/>
  <c r="H15"/>
  <c r="G15"/>
  <c r="G14"/>
  <c r="G13"/>
  <c r="G12"/>
  <c r="G9"/>
  <c r="G10"/>
  <c r="G11"/>
  <c r="G8"/>
  <c r="G7"/>
  <c r="G6"/>
  <c r="F15"/>
  <c r="E15"/>
  <c r="H10" i="9"/>
  <c r="H9"/>
  <c r="H8"/>
  <c r="H7"/>
  <c r="H6"/>
  <c r="H5"/>
  <c r="H4"/>
  <c r="H3"/>
  <c r="F11"/>
  <c r="D11"/>
  <c r="H11" s="1"/>
  <c r="I16" i="8"/>
  <c r="G16"/>
  <c r="E16"/>
  <c r="H7"/>
  <c r="F7"/>
  <c r="D7"/>
  <c r="H8" i="7"/>
  <c r="H10"/>
  <c r="H9"/>
  <c r="H7"/>
  <c r="H6"/>
  <c r="H5"/>
  <c r="H4"/>
  <c r="F11"/>
  <c r="H11" s="1"/>
  <c r="D11"/>
  <c r="H13" i="6"/>
  <c r="H7"/>
  <c r="H10"/>
  <c r="H9"/>
  <c r="H12"/>
  <c r="H11"/>
  <c r="H8"/>
  <c r="H6"/>
  <c r="N15" i="5"/>
  <c r="H5" i="6"/>
  <c r="F13"/>
  <c r="D13"/>
  <c r="N17" i="5"/>
  <c r="N3"/>
  <c r="K17"/>
  <c r="H17"/>
  <c r="L6" i="3"/>
  <c r="L5"/>
  <c r="L4"/>
  <c r="L3"/>
  <c r="L2"/>
  <c r="I5" i="2"/>
  <c r="I6"/>
  <c r="I7"/>
  <c r="I8"/>
  <c r="I9"/>
  <c r="I10"/>
  <c r="I11"/>
  <c r="I12"/>
  <c r="I4"/>
  <c r="H13"/>
  <c r="G13"/>
  <c r="F6"/>
  <c r="F7"/>
  <c r="F8"/>
  <c r="F9"/>
  <c r="F10"/>
  <c r="F11"/>
  <c r="F12"/>
  <c r="F5"/>
  <c r="F4"/>
  <c r="E13"/>
  <c r="D13"/>
  <c r="I13" l="1"/>
  <c r="F13"/>
</calcChain>
</file>

<file path=xl/sharedStrings.xml><?xml version="1.0" encoding="utf-8"?>
<sst xmlns="http://schemas.openxmlformats.org/spreadsheetml/2006/main" count="162" uniqueCount="57">
  <si>
    <t>2024 година</t>
  </si>
  <si>
    <t>2023 година</t>
  </si>
  <si>
    <t>Промена %</t>
  </si>
  <si>
    <t xml:space="preserve"> </t>
  </si>
  <si>
    <t>СВР Скопје</t>
  </si>
  <si>
    <t>СВР Битола</t>
  </si>
  <si>
    <t>Кривични дела</t>
  </si>
  <si>
    <t>Сторители</t>
  </si>
  <si>
    <t>СВР Велес</t>
  </si>
  <si>
    <t>СВР Куманово</t>
  </si>
  <si>
    <t>СВР Охрид</t>
  </si>
  <si>
    <t>СВР Струмица</t>
  </si>
  <si>
    <t>СВР Тетово</t>
  </si>
  <si>
    <t>СВР Штип</t>
  </si>
  <si>
    <t>ОСОСК</t>
  </si>
  <si>
    <t>Вкупно</t>
  </si>
  <si>
    <t xml:space="preserve">                                                      Кривични дела</t>
  </si>
  <si>
    <t>Откриени случаи</t>
  </si>
  <si>
    <t xml:space="preserve">Број на кривични дела </t>
  </si>
  <si>
    <t>Број на сторители</t>
  </si>
  <si>
    <t>Број на криумчарени мигранти</t>
  </si>
  <si>
    <t>Број на ОКГ</t>
  </si>
  <si>
    <t>-</t>
  </si>
  <si>
    <t>Kривични дела</t>
  </si>
  <si>
    <t>Служба во непријателска војска</t>
  </si>
  <si>
    <t>Расна и друга дискриминација</t>
  </si>
  <si>
    <t>Вкупно кривични дела</t>
  </si>
  <si>
    <t xml:space="preserve">  </t>
  </si>
  <si>
    <t xml:space="preserve">Кривични дела Убиства  </t>
  </si>
  <si>
    <t>Кривични дела Насилство</t>
  </si>
  <si>
    <t>2022 година</t>
  </si>
  <si>
    <t>Број на акциски контроли</t>
  </si>
  <si>
    <t>Број на угостителски објекти</t>
  </si>
  <si>
    <t>Број на странски државјани</t>
  </si>
  <si>
    <t>Кривични дела ,,Трговија со деца"</t>
  </si>
  <si>
    <t>Број на жртви</t>
  </si>
  <si>
    <t>Кривични дела Тешка кражба</t>
  </si>
  <si>
    <t xml:space="preserve">                                                                 Кривични дела</t>
  </si>
  <si>
    <t>Вкупен криминалитет за 2024 година по СВР</t>
  </si>
  <si>
    <t>КД со            познат</t>
  </si>
  <si>
    <t>КД со      непознат</t>
  </si>
  <si>
    <t xml:space="preserve">Расветлени КД од извештајен период </t>
  </si>
  <si>
    <t>Стапка на криминал</t>
  </si>
  <si>
    <t xml:space="preserve">Вкупна ефикасност 2024 </t>
  </si>
  <si>
    <t>Членови на криминални групи</t>
  </si>
  <si>
    <t>Област на криминал</t>
  </si>
  <si>
    <t>Недозволена трговија со дрога</t>
  </si>
  <si>
    <t>Недозволена трговија со дрога и оружје</t>
  </si>
  <si>
    <t>Корупција</t>
  </si>
  <si>
    <t>Криумчарење  мигранти</t>
  </si>
  <si>
    <t>Трговија со луѓе-посредување во проституција</t>
  </si>
  <si>
    <t>Сериозен и насилен криминал</t>
  </si>
  <si>
    <t xml:space="preserve"> Кривични дела против правосудство</t>
  </si>
  <si>
    <t xml:space="preserve">                                    ОКГ</t>
  </si>
  <si>
    <t>Учество во странска војска и полиција</t>
  </si>
  <si>
    <t>Предизвикување омраза и нетрпеливост</t>
  </si>
  <si>
    <t>Неовластено навлегување и цртање на воени објекти</t>
  </si>
</sst>
</file>

<file path=xl/styles.xml><?xml version="1.0" encoding="utf-8"?>
<styleSheet xmlns="http://schemas.openxmlformats.org/spreadsheetml/2006/main">
  <numFmts count="12">
    <numFmt numFmtId="43" formatCode="_-* #,##0.00_-;\-* #,##0.00_-;_-* &quot;-&quot;??_-;_-@_-"/>
    <numFmt numFmtId="164" formatCode="[Color3]0.0%\↗;[Color10]\-0.0%\↓;0.0%"/>
    <numFmt numFmtId="165" formatCode="[Color3]00%\↗;[Color10]\-0.0%\↓;0.0%"/>
    <numFmt numFmtId="166" formatCode="0;\-0;&quot;-&quot;"/>
    <numFmt numFmtId="167" formatCode="[Red]\ &quot;пет пати&quot;\ \↗;[Green]\-0.0\ &quot;пет пати&quot;\ \↘;0.0"/>
    <numFmt numFmtId="168" formatCode="[Red]\ &quot;три и и пол пати&quot;\ \↗;[Green]\-0.0\ &quot;три и пол пати&quot;\ \↘;0.0"/>
    <numFmt numFmtId="169" formatCode="\-"/>
    <numFmt numFmtId="170" formatCode="[Color3]0%\↗;[Color10]\-0%\↓;0%"/>
    <numFmt numFmtId="171" formatCode="[Color3]\%\↗;[Color10]\-0%\↓;0%"/>
    <numFmt numFmtId="172" formatCode="[Color3]0.\3%\↗;[Color10]\-0.\3%\↓;0.0%"/>
    <numFmt numFmtId="173" formatCode="#,##0.0"/>
    <numFmt numFmtId="174" formatCode="[Color3]0%\↗;[Color10]\-0.0%\↓;0%"/>
  </numFmts>
  <fonts count="7">
    <font>
      <sz val="11"/>
      <color theme="1"/>
      <name val="New Times Roman"/>
      <family val="2"/>
    </font>
    <font>
      <sz val="11"/>
      <color theme="1"/>
      <name val="New Times Roman"/>
      <family val="2"/>
    </font>
    <font>
      <sz val="11"/>
      <color theme="0"/>
      <name val="New Times Roman"/>
      <family val="2"/>
    </font>
    <font>
      <b/>
      <sz val="11"/>
      <color theme="3"/>
      <name val="New Times Roman"/>
    </font>
    <font>
      <b/>
      <sz val="11"/>
      <color theme="0"/>
      <name val="New Times Roman"/>
    </font>
    <font>
      <b/>
      <sz val="11"/>
      <color theme="0"/>
      <name val="New Times Roman"/>
      <family val="2"/>
    </font>
    <font>
      <sz val="11"/>
      <color theme="1"/>
      <name val="New Times Roman"/>
    </font>
  </fonts>
  <fills count="19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1E8296"/>
        <bgColor indexed="64"/>
      </patternFill>
    </fill>
    <fill>
      <patternFill patternType="solid">
        <fgColor rgb="FF82D2C3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3FAF9A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5"/>
      </patternFill>
    </fill>
  </fills>
  <borders count="28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0"/>
      </left>
      <right style="thin">
        <color theme="0"/>
      </right>
      <top style="thin">
        <color theme="2"/>
      </top>
      <bottom style="thin">
        <color theme="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/>
      <diagonal/>
    </border>
    <border>
      <left/>
      <right style="thin">
        <color theme="0"/>
      </right>
      <top style="thin">
        <color theme="2"/>
      </top>
      <bottom/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/>
      <right style="thin">
        <color theme="0"/>
      </right>
      <top/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0"/>
      </right>
      <top style="thin">
        <color theme="2"/>
      </top>
      <bottom style="thin">
        <color theme="2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43" fontId="1" fillId="0" borderId="0" applyFont="0" applyFill="0" applyBorder="0" applyAlignment="0" applyProtection="0"/>
  </cellStyleXfs>
  <cellXfs count="267">
    <xf numFmtId="0" fontId="0" fillId="0" borderId="0" xfId="0"/>
    <xf numFmtId="0" fontId="0" fillId="0" borderId="0" xfId="0" applyAlignment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0" fontId="0" fillId="0" borderId="3" xfId="0" applyBorder="1"/>
    <xf numFmtId="164" fontId="0" fillId="0" borderId="5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4" fontId="0" fillId="7" borderId="5" xfId="0" applyNumberForma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0" fillId="0" borderId="2" xfId="0" applyBorder="1"/>
    <xf numFmtId="0" fontId="0" fillId="0" borderId="12" xfId="0" applyBorder="1"/>
    <xf numFmtId="0" fontId="0" fillId="0" borderId="15" xfId="0" applyBorder="1"/>
    <xf numFmtId="0" fontId="0" fillId="0" borderId="14" xfId="0" applyBorder="1"/>
    <xf numFmtId="0" fontId="0" fillId="0" borderId="16" xfId="0" applyBorder="1"/>
    <xf numFmtId="0" fontId="0" fillId="0" borderId="4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0" fontId="4" fillId="7" borderId="0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0" fillId="0" borderId="11" xfId="0" applyBorder="1"/>
    <xf numFmtId="164" fontId="4" fillId="7" borderId="0" xfId="0" applyNumberFormat="1" applyFont="1" applyFill="1" applyAlignment="1">
      <alignment horizontal="center"/>
    </xf>
    <xf numFmtId="0" fontId="4" fillId="7" borderId="14" xfId="0" applyFont="1" applyFill="1" applyBorder="1" applyAlignment="1">
      <alignment horizontal="center"/>
    </xf>
    <xf numFmtId="0" fontId="0" fillId="0" borderId="18" xfId="0" applyBorder="1"/>
    <xf numFmtId="0" fontId="0" fillId="0" borderId="11" xfId="0" applyBorder="1" applyAlignment="1"/>
    <xf numFmtId="0" fontId="0" fillId="0" borderId="10" xfId="0" applyBorder="1" applyAlignment="1"/>
    <xf numFmtId="173" fontId="0" fillId="0" borderId="0" xfId="7" applyNumberFormat="1" applyFont="1" applyAlignment="1">
      <alignment horizontal="center" vertical="center"/>
    </xf>
    <xf numFmtId="173" fontId="0" fillId="0" borderId="0" xfId="0" applyNumberFormat="1" applyAlignment="1">
      <alignment horizontal="center" vertical="center"/>
    </xf>
    <xf numFmtId="0" fontId="0" fillId="0" borderId="7" xfId="0" applyBorder="1" applyAlignment="1">
      <alignment horizontal="center"/>
    </xf>
    <xf numFmtId="3" fontId="4" fillId="7" borderId="14" xfId="0" applyNumberFormat="1" applyFont="1" applyFill="1" applyBorder="1" applyAlignment="1">
      <alignment horizontal="center"/>
    </xf>
    <xf numFmtId="3" fontId="4" fillId="7" borderId="2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2" fontId="0" fillId="0" borderId="14" xfId="7" applyNumberFormat="1" applyFon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173" fontId="4" fillId="7" borderId="14" xfId="7" applyNumberFormat="1" applyFont="1" applyFill="1" applyBorder="1" applyAlignment="1">
      <alignment horizontal="center" vertical="center"/>
    </xf>
    <xf numFmtId="173" fontId="4" fillId="7" borderId="0" xfId="0" applyNumberFormat="1" applyFont="1" applyFill="1" applyAlignment="1">
      <alignment horizontal="center" vertical="center"/>
    </xf>
    <xf numFmtId="0" fontId="2" fillId="7" borderId="7" xfId="0" applyFont="1" applyFill="1" applyBorder="1" applyAlignment="1">
      <alignment horizontal="center"/>
    </xf>
    <xf numFmtId="0" fontId="4" fillId="11" borderId="11" xfId="0" applyFont="1" applyFill="1" applyBorder="1" applyAlignment="1">
      <alignment horizontal="center"/>
    </xf>
    <xf numFmtId="0" fontId="4" fillId="11" borderId="10" xfId="0" applyFont="1" applyFill="1" applyBorder="1" applyAlignment="1">
      <alignment horizontal="center"/>
    </xf>
    <xf numFmtId="0" fontId="4" fillId="4" borderId="15" xfId="4" applyFont="1" applyBorder="1" applyAlignment="1">
      <alignment horizontal="center" wrapText="1"/>
    </xf>
    <xf numFmtId="0" fontId="4" fillId="4" borderId="14" xfId="4" applyFont="1" applyBorder="1" applyAlignment="1">
      <alignment horizontal="center" wrapText="1"/>
    </xf>
    <xf numFmtId="0" fontId="4" fillId="4" borderId="12" xfId="4" applyFont="1" applyBorder="1" applyAlignment="1">
      <alignment horizontal="center" wrapText="1"/>
    </xf>
    <xf numFmtId="0" fontId="4" fillId="4" borderId="0" xfId="4" applyFont="1" applyBorder="1" applyAlignment="1">
      <alignment horizontal="center" wrapText="1"/>
    </xf>
    <xf numFmtId="0" fontId="4" fillId="4" borderId="13" xfId="4" applyFont="1" applyBorder="1" applyAlignment="1">
      <alignment horizontal="center" vertical="center"/>
    </xf>
    <xf numFmtId="0" fontId="4" fillId="4" borderId="2" xfId="4" applyFont="1" applyBorder="1" applyAlignment="1">
      <alignment horizontal="center" vertical="center"/>
    </xf>
    <xf numFmtId="0" fontId="4" fillId="14" borderId="3" xfId="0" applyFont="1" applyFill="1" applyBorder="1" applyAlignment="1">
      <alignment horizontal="center" vertical="center"/>
    </xf>
    <xf numFmtId="0" fontId="4" fillId="14" borderId="9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4" fillId="12" borderId="9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4" fillId="4" borderId="0" xfId="4" applyFont="1" applyBorder="1" applyAlignment="1">
      <alignment horizontal="center" vertical="center" wrapText="1"/>
    </xf>
    <xf numFmtId="0" fontId="4" fillId="4" borderId="2" xfId="4" applyFont="1" applyBorder="1" applyAlignment="1">
      <alignment horizontal="center" vertical="center" wrapText="1"/>
    </xf>
    <xf numFmtId="0" fontId="4" fillId="4" borderId="15" xfId="4" applyFont="1" applyBorder="1" applyAlignment="1">
      <alignment horizontal="center" vertical="center"/>
    </xf>
    <xf numFmtId="0" fontId="4" fillId="4" borderId="14" xfId="4" applyFont="1" applyBorder="1" applyAlignment="1">
      <alignment horizontal="center" vertical="center"/>
    </xf>
    <xf numFmtId="0" fontId="4" fillId="4" borderId="15" xfId="4" applyFont="1" applyBorder="1" applyAlignment="1">
      <alignment horizontal="center" vertical="center" wrapText="1"/>
    </xf>
    <xf numFmtId="0" fontId="4" fillId="4" borderId="14" xfId="4" applyFont="1" applyBorder="1" applyAlignment="1">
      <alignment horizontal="center" vertical="center" wrapText="1"/>
    </xf>
    <xf numFmtId="0" fontId="4" fillId="4" borderId="13" xfId="4" applyFont="1" applyBorder="1" applyAlignment="1">
      <alignment horizontal="center" vertical="center" wrapText="1"/>
    </xf>
    <xf numFmtId="0" fontId="4" fillId="14" borderId="11" xfId="0" applyFont="1" applyFill="1" applyBorder="1" applyAlignment="1">
      <alignment horizontal="center"/>
    </xf>
    <xf numFmtId="0" fontId="4" fillId="14" borderId="10" xfId="0" applyFont="1" applyFill="1" applyBorder="1" applyAlignment="1">
      <alignment horizontal="center"/>
    </xf>
    <xf numFmtId="0" fontId="4" fillId="12" borderId="11" xfId="0" applyFont="1" applyFill="1" applyBorder="1" applyAlignment="1">
      <alignment horizontal="center"/>
    </xf>
    <xf numFmtId="0" fontId="4" fillId="12" borderId="10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4" fillId="9" borderId="9" xfId="0" applyFont="1" applyFill="1" applyBorder="1" applyAlignment="1">
      <alignment horizontal="center"/>
    </xf>
    <xf numFmtId="0" fontId="4" fillId="7" borderId="0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2" fillId="12" borderId="8" xfId="3" applyFill="1" applyBorder="1" applyAlignment="1">
      <alignment horizontal="center"/>
    </xf>
    <xf numFmtId="0" fontId="2" fillId="12" borderId="25" xfId="3" applyFill="1" applyBorder="1" applyAlignment="1">
      <alignment horizontal="center"/>
    </xf>
    <xf numFmtId="0" fontId="2" fillId="12" borderId="26" xfId="3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20" xfId="0" applyFill="1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0" fillId="7" borderId="22" xfId="0" applyFill="1" applyBorder="1" applyAlignment="1">
      <alignment horizontal="center"/>
    </xf>
    <xf numFmtId="0" fontId="0" fillId="7" borderId="23" xfId="0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2" fillId="9" borderId="8" xfId="0" applyFont="1" applyFill="1" applyBorder="1" applyAlignment="1">
      <alignment horizontal="center"/>
    </xf>
    <xf numFmtId="0" fontId="2" fillId="9" borderId="25" xfId="0" applyFont="1" applyFill="1" applyBorder="1" applyAlignment="1">
      <alignment horizontal="center"/>
    </xf>
    <xf numFmtId="0" fontId="2" fillId="9" borderId="26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4" borderId="0" xfId="4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25" xfId="0" applyFont="1" applyFill="1" applyBorder="1" applyAlignment="1">
      <alignment horizontal="center"/>
    </xf>
    <xf numFmtId="0" fontId="2" fillId="7" borderId="26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/>
    </xf>
    <xf numFmtId="0" fontId="2" fillId="6" borderId="25" xfId="0" applyFont="1" applyFill="1" applyBorder="1" applyAlignment="1">
      <alignment horizontal="center"/>
    </xf>
    <xf numFmtId="0" fontId="2" fillId="6" borderId="26" xfId="0" applyFont="1" applyFill="1" applyBorder="1" applyAlignment="1">
      <alignment horizontal="center"/>
    </xf>
    <xf numFmtId="0" fontId="2" fillId="11" borderId="8" xfId="0" applyFont="1" applyFill="1" applyBorder="1" applyAlignment="1">
      <alignment horizontal="center"/>
    </xf>
    <xf numFmtId="0" fontId="2" fillId="11" borderId="25" xfId="0" applyFont="1" applyFill="1" applyBorder="1" applyAlignment="1">
      <alignment horizontal="center"/>
    </xf>
    <xf numFmtId="0" fontId="2" fillId="11" borderId="26" xfId="0" applyFont="1" applyFill="1" applyBorder="1" applyAlignment="1">
      <alignment horizontal="center"/>
    </xf>
    <xf numFmtId="0" fontId="2" fillId="8" borderId="8" xfId="2" applyFont="1" applyFill="1" applyBorder="1" applyAlignment="1">
      <alignment horizontal="center"/>
    </xf>
    <xf numFmtId="0" fontId="2" fillId="8" borderId="25" xfId="2" applyFont="1" applyFill="1" applyBorder="1" applyAlignment="1">
      <alignment horizontal="center"/>
    </xf>
    <xf numFmtId="0" fontId="2" fillId="8" borderId="26" xfId="2" applyFont="1" applyFill="1" applyBorder="1" applyAlignment="1">
      <alignment horizontal="center"/>
    </xf>
    <xf numFmtId="0" fontId="2" fillId="12" borderId="8" xfId="0" applyFont="1" applyFill="1" applyBorder="1" applyAlignment="1">
      <alignment horizontal="center"/>
    </xf>
    <xf numFmtId="0" fontId="2" fillId="12" borderId="25" xfId="0" applyFont="1" applyFill="1" applyBorder="1" applyAlignment="1">
      <alignment horizontal="center"/>
    </xf>
    <xf numFmtId="0" fontId="2" fillId="12" borderId="26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25" xfId="0" applyFont="1" applyFill="1" applyBorder="1" applyAlignment="1">
      <alignment horizontal="center"/>
    </xf>
    <xf numFmtId="0" fontId="2" fillId="5" borderId="26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4" fillId="11" borderId="4" xfId="0" applyFont="1" applyFill="1" applyBorder="1" applyAlignment="1">
      <alignment horizontal="center"/>
    </xf>
    <xf numFmtId="0" fontId="4" fillId="11" borderId="0" xfId="0" applyFont="1" applyFill="1" applyBorder="1" applyAlignment="1">
      <alignment horizontal="center"/>
    </xf>
    <xf numFmtId="0" fontId="4" fillId="11" borderId="2" xfId="0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4" xfId="1" applyNumberFormat="1" applyFont="1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169" fontId="2" fillId="11" borderId="4" xfId="0" applyNumberFormat="1" applyFont="1" applyFill="1" applyBorder="1" applyAlignment="1">
      <alignment horizontal="center"/>
    </xf>
    <xf numFmtId="169" fontId="2" fillId="11" borderId="0" xfId="0" applyNumberFormat="1" applyFont="1" applyFill="1" applyBorder="1" applyAlignment="1">
      <alignment horizontal="center"/>
    </xf>
    <xf numFmtId="169" fontId="2" fillId="11" borderId="2" xfId="0" applyNumberFormat="1" applyFont="1" applyFill="1" applyBorder="1" applyAlignment="1">
      <alignment horizontal="center"/>
    </xf>
    <xf numFmtId="0" fontId="4" fillId="9" borderId="0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4" fillId="15" borderId="0" xfId="0" applyFont="1" applyFill="1" applyBorder="1" applyAlignment="1">
      <alignment horizontal="center"/>
    </xf>
    <xf numFmtId="0" fontId="4" fillId="15" borderId="2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4" fillId="10" borderId="0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/>
    </xf>
    <xf numFmtId="0" fontId="4" fillId="13" borderId="0" xfId="0" applyFont="1" applyFill="1" applyBorder="1" applyAlignment="1">
      <alignment horizontal="center"/>
    </xf>
    <xf numFmtId="0" fontId="4" fillId="13" borderId="2" xfId="0" applyFont="1" applyFill="1" applyBorder="1" applyAlignment="1">
      <alignment horizontal="center"/>
    </xf>
    <xf numFmtId="0" fontId="4" fillId="13" borderId="4" xfId="0" applyFont="1" applyFill="1" applyBorder="1" applyAlignment="1">
      <alignment horizontal="center"/>
    </xf>
    <xf numFmtId="0" fontId="4" fillId="14" borderId="0" xfId="0" applyFont="1" applyFill="1" applyBorder="1" applyAlignment="1">
      <alignment horizontal="center"/>
    </xf>
    <xf numFmtId="0" fontId="4" fillId="1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11" borderId="0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4" borderId="3" xfId="0" applyFont="1" applyFill="1" applyBorder="1" applyAlignment="1">
      <alignment horizontal="center" vertical="top"/>
    </xf>
    <xf numFmtId="0" fontId="4" fillId="14" borderId="9" xfId="0" applyFont="1" applyFill="1" applyBorder="1" applyAlignment="1">
      <alignment horizontal="center" vertical="top"/>
    </xf>
    <xf numFmtId="0" fontId="4" fillId="10" borderId="12" xfId="0" applyFont="1" applyFill="1" applyBorder="1" applyAlignment="1">
      <alignment horizontal="center" vertical="center" wrapText="1"/>
    </xf>
    <xf numFmtId="0" fontId="4" fillId="10" borderId="1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4" fillId="4" borderId="0" xfId="4" applyFont="1" applyAlignment="1">
      <alignment horizontal="center" vertical="top"/>
    </xf>
    <xf numFmtId="0" fontId="0" fillId="0" borderId="0" xfId="0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11" borderId="0" xfId="0" applyFont="1" applyFill="1" applyAlignment="1">
      <alignment horizontal="center"/>
    </xf>
    <xf numFmtId="0" fontId="4" fillId="11" borderId="3" xfId="0" applyFont="1" applyFill="1" applyBorder="1" applyAlignment="1">
      <alignment horizontal="center"/>
    </xf>
    <xf numFmtId="0" fontId="4" fillId="11" borderId="9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16" borderId="11" xfId="5" applyFont="1" applyBorder="1" applyAlignment="1">
      <alignment horizontal="center"/>
    </xf>
    <xf numFmtId="0" fontId="4" fillId="16" borderId="10" xfId="5" applyFont="1" applyBorder="1" applyAlignment="1">
      <alignment horizontal="center"/>
    </xf>
    <xf numFmtId="0" fontId="4" fillId="9" borderId="12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4" borderId="0" xfId="4" applyFont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74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/>
    </xf>
    <xf numFmtId="168" fontId="0" fillId="11" borderId="0" xfId="0" applyNumberForma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11" borderId="12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4" fillId="13" borderId="0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0" borderId="0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17" borderId="12" xfId="0" applyFont="1" applyFill="1" applyBorder="1" applyAlignment="1">
      <alignment horizontal="center" vertical="center" wrapText="1"/>
    </xf>
    <xf numFmtId="0" fontId="4" fillId="17" borderId="13" xfId="0" applyFont="1" applyFill="1" applyBorder="1" applyAlignment="1">
      <alignment horizontal="center" vertical="center" wrapText="1"/>
    </xf>
    <xf numFmtId="0" fontId="4" fillId="17" borderId="0" xfId="0" applyFont="1" applyFill="1" applyBorder="1" applyAlignment="1">
      <alignment horizontal="center" vertical="center" wrapText="1"/>
    </xf>
    <xf numFmtId="0" fontId="4" fillId="17" borderId="2" xfId="0" applyFont="1" applyFill="1" applyBorder="1" applyAlignment="1">
      <alignment horizontal="center" vertical="center" wrapText="1"/>
    </xf>
    <xf numFmtId="0" fontId="4" fillId="17" borderId="3" xfId="0" applyFont="1" applyFill="1" applyBorder="1" applyAlignment="1">
      <alignment horizontal="center" vertical="center" wrapText="1"/>
    </xf>
    <xf numFmtId="0" fontId="4" fillId="17" borderId="9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171" fontId="4" fillId="11" borderId="4" xfId="0" applyNumberFormat="1" applyFont="1" applyFill="1" applyBorder="1" applyAlignment="1">
      <alignment horizontal="center"/>
    </xf>
    <xf numFmtId="171" fontId="4" fillId="11" borderId="0" xfId="0" applyNumberFormat="1" applyFont="1" applyFill="1" applyBorder="1" applyAlignment="1">
      <alignment horizontal="center"/>
    </xf>
    <xf numFmtId="0" fontId="4" fillId="3" borderId="0" xfId="3" applyFont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0" fillId="11" borderId="0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4" fillId="7" borderId="0" xfId="0" applyFont="1" applyFill="1" applyAlignment="1">
      <alignment horizontal="center"/>
    </xf>
    <xf numFmtId="0" fontId="4" fillId="3" borderId="0" xfId="3" applyFont="1" applyAlignment="1">
      <alignment horizontal="center"/>
    </xf>
    <xf numFmtId="0" fontId="4" fillId="12" borderId="0" xfId="0" applyFont="1" applyFill="1" applyAlignment="1">
      <alignment horizontal="center"/>
    </xf>
    <xf numFmtId="0" fontId="4" fillId="17" borderId="0" xfId="0" applyFont="1" applyFill="1" applyAlignment="1">
      <alignment horizontal="center"/>
    </xf>
    <xf numFmtId="0" fontId="2" fillId="7" borderId="0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4" fillId="4" borderId="0" xfId="4" applyFont="1" applyAlignment="1">
      <alignment horizontal="center"/>
    </xf>
    <xf numFmtId="0" fontId="4" fillId="14" borderId="0" xfId="0" applyFont="1" applyFill="1" applyAlignment="1">
      <alignment horizontal="center"/>
    </xf>
    <xf numFmtId="0" fontId="4" fillId="18" borderId="0" xfId="6" applyFont="1" applyAlignment="1">
      <alignment horizontal="center"/>
    </xf>
    <xf numFmtId="172" fontId="4" fillId="7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4" fillId="8" borderId="7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4" fillId="12" borderId="7" xfId="0" applyFont="1" applyFill="1" applyBorder="1" applyAlignment="1">
      <alignment horizontal="center"/>
    </xf>
    <xf numFmtId="0" fontId="4" fillId="4" borderId="0" xfId="4" applyFont="1" applyBorder="1" applyAlignment="1">
      <alignment horizontal="center" vertical="center"/>
    </xf>
    <xf numFmtId="0" fontId="4" fillId="4" borderId="4" xfId="4" applyFont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0" fontId="4" fillId="13" borderId="9" xfId="0" applyFont="1" applyFill="1" applyBorder="1" applyAlignment="1">
      <alignment horizontal="center" vertical="center"/>
    </xf>
    <xf numFmtId="0" fontId="4" fillId="12" borderId="7" xfId="0" applyFont="1" applyFill="1" applyBorder="1" applyAlignment="1">
      <alignment horizontal="center" vertical="center"/>
    </xf>
    <xf numFmtId="170" fontId="0" fillId="0" borderId="7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4" fillId="7" borderId="7" xfId="0" applyNumberFormat="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3" fontId="4" fillId="7" borderId="7" xfId="0" applyNumberFormat="1" applyFont="1" applyFill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4" fillId="14" borderId="7" xfId="0" applyFont="1" applyFill="1" applyBorder="1" applyAlignment="1">
      <alignment horizontal="center"/>
    </xf>
    <xf numFmtId="0" fontId="4" fillId="10" borderId="7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4" fillId="11" borderId="7" xfId="0" applyFont="1" applyFill="1" applyBorder="1" applyAlignment="1">
      <alignment horizontal="center"/>
    </xf>
    <xf numFmtId="0" fontId="4" fillId="9" borderId="7" xfId="0" applyFont="1" applyFill="1" applyBorder="1" applyAlignment="1">
      <alignment horizontal="center"/>
    </xf>
    <xf numFmtId="0" fontId="5" fillId="14" borderId="0" xfId="0" applyFont="1" applyFill="1" applyBorder="1" applyAlignment="1">
      <alignment horizontal="center"/>
    </xf>
    <xf numFmtId="0" fontId="5" fillId="14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9" borderId="0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5" fillId="7" borderId="0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12" borderId="0" xfId="0" applyFont="1" applyFill="1" applyBorder="1" applyAlignment="1">
      <alignment horizontal="center"/>
    </xf>
    <xf numFmtId="0" fontId="5" fillId="12" borderId="2" xfId="0" applyFont="1" applyFill="1" applyBorder="1" applyAlignment="1">
      <alignment horizontal="center"/>
    </xf>
    <xf numFmtId="0" fontId="5" fillId="11" borderId="0" xfId="0" applyFont="1" applyFill="1" applyBorder="1" applyAlignment="1">
      <alignment horizontal="center"/>
    </xf>
    <xf numFmtId="0" fontId="5" fillId="11" borderId="2" xfId="0" applyFont="1" applyFill="1" applyBorder="1" applyAlignment="1">
      <alignment horizontal="center"/>
    </xf>
    <xf numFmtId="0" fontId="5" fillId="15" borderId="0" xfId="0" applyFont="1" applyFill="1" applyBorder="1" applyAlignment="1">
      <alignment horizontal="center"/>
    </xf>
    <xf numFmtId="0" fontId="5" fillId="15" borderId="2" xfId="0" applyFont="1" applyFill="1" applyBorder="1" applyAlignment="1">
      <alignment horizontal="center"/>
    </xf>
    <xf numFmtId="0" fontId="4" fillId="7" borderId="14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</cellXfs>
  <cellStyles count="8">
    <cellStyle name="40% - Accent5" xfId="2" builtinId="47"/>
    <cellStyle name="60% - Accent1" xfId="6" builtinId="32"/>
    <cellStyle name="60% - Accent5" xfId="3" builtinId="48"/>
    <cellStyle name="Accent5" xfId="5" builtinId="45"/>
    <cellStyle name="Accent6" xfId="4" builtinId="49"/>
    <cellStyle name="Comma" xfId="7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A5E9F9"/>
      <color rgb="FF82D2C3"/>
      <color rgb="FF1E8296"/>
      <color rgb="FF1F4E79"/>
      <color rgb="FF3FAF9A"/>
      <color rgb="FFFFCC00"/>
      <color rgb="FFFFFF05"/>
      <color rgb="FFDFEA54"/>
      <color rgb="FFFFFF2F"/>
      <color rgb="FFDFDA0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mk-MK"/>
              <a:t>Вкупен</a:t>
            </a:r>
            <a:r>
              <a:rPr lang="mk-MK" baseline="0"/>
              <a:t> криминалитет за 2024 година по СВР </a:t>
            </a:r>
            <a:endParaRPr lang="en-US"/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9510518385544297E-2"/>
          <c:y val="0.17565179352580929"/>
          <c:w val="0.85860917315478169"/>
          <c:h val="0.6515058922939988"/>
        </c:manualLayout>
      </c:layout>
      <c:barChart>
        <c:barDir val="col"/>
        <c:grouping val="clustered"/>
        <c:ser>
          <c:idx val="0"/>
          <c:order val="0"/>
          <c:cat>
            <c:strRef>
              <c:f>'Вкупен криминалитетот'!$A$3:$A$11</c:f>
              <c:strCache>
                <c:ptCount val="9"/>
                <c:pt idx="0">
                  <c:v>СВР Скопје</c:v>
                </c:pt>
                <c:pt idx="1">
                  <c:v>СВР Битола</c:v>
                </c:pt>
                <c:pt idx="2">
                  <c:v>СВР Велес</c:v>
                </c:pt>
                <c:pt idx="3">
                  <c:v>СВР Куманово</c:v>
                </c:pt>
                <c:pt idx="4">
                  <c:v>СВР Охрид</c:v>
                </c:pt>
                <c:pt idx="5">
                  <c:v>СВР Струмица</c:v>
                </c:pt>
                <c:pt idx="6">
                  <c:v>СВР Тетово</c:v>
                </c:pt>
                <c:pt idx="7">
                  <c:v>СВР Штип</c:v>
                </c:pt>
                <c:pt idx="8">
                  <c:v>ОСОСК</c:v>
                </c:pt>
              </c:strCache>
            </c:strRef>
          </c:cat>
          <c:val>
            <c:numRef>
              <c:f>'Вкупен криминалитетот'!$B$3:$B$11</c:f>
              <c:numCache>
                <c:formatCode>General</c:formatCode>
                <c:ptCount val="9"/>
              </c:numCache>
            </c:numRef>
          </c:val>
        </c:ser>
        <c:ser>
          <c:idx val="1"/>
          <c:order val="1"/>
          <c:tx>
            <c:v>Кривични дела</c:v>
          </c:tx>
          <c:dLbls>
            <c:showVal val="1"/>
          </c:dLbls>
          <c:cat>
            <c:strRef>
              <c:f>'Вкупен криминалитетот'!$A$3:$A$11</c:f>
              <c:strCache>
                <c:ptCount val="9"/>
                <c:pt idx="0">
                  <c:v>СВР Скопје</c:v>
                </c:pt>
                <c:pt idx="1">
                  <c:v>СВР Битола</c:v>
                </c:pt>
                <c:pt idx="2">
                  <c:v>СВР Велес</c:v>
                </c:pt>
                <c:pt idx="3">
                  <c:v>СВР Куманово</c:v>
                </c:pt>
                <c:pt idx="4">
                  <c:v>СВР Охрид</c:v>
                </c:pt>
                <c:pt idx="5">
                  <c:v>СВР Струмица</c:v>
                </c:pt>
                <c:pt idx="6">
                  <c:v>СВР Тетово</c:v>
                </c:pt>
                <c:pt idx="7">
                  <c:v>СВР Штип</c:v>
                </c:pt>
                <c:pt idx="8">
                  <c:v>ОСОСК</c:v>
                </c:pt>
              </c:strCache>
            </c:strRef>
          </c:cat>
          <c:val>
            <c:numRef>
              <c:f>'Вкупен криминалитетот'!$C$3:$C$11</c:f>
              <c:numCache>
                <c:formatCode>General</c:formatCode>
                <c:ptCount val="9"/>
                <c:pt idx="0">
                  <c:v>7981</c:v>
                </c:pt>
                <c:pt idx="1">
                  <c:v>2168</c:v>
                </c:pt>
                <c:pt idx="2">
                  <c:v>984</c:v>
                </c:pt>
                <c:pt idx="3">
                  <c:v>1245</c:v>
                </c:pt>
                <c:pt idx="4">
                  <c:v>1313</c:v>
                </c:pt>
                <c:pt idx="5">
                  <c:v>1216</c:v>
                </c:pt>
                <c:pt idx="6">
                  <c:v>1979</c:v>
                </c:pt>
                <c:pt idx="7">
                  <c:v>1706</c:v>
                </c:pt>
                <c:pt idx="8">
                  <c:v>135</c:v>
                </c:pt>
              </c:numCache>
            </c:numRef>
          </c:val>
        </c:ser>
        <c:axId val="78292096"/>
        <c:axId val="78293632"/>
      </c:barChart>
      <c:catAx>
        <c:axId val="78292096"/>
        <c:scaling>
          <c:orientation val="minMax"/>
        </c:scaling>
        <c:axPos val="b"/>
        <c:tickLblPos val="nextTo"/>
        <c:crossAx val="78293632"/>
        <c:crosses val="autoZero"/>
        <c:auto val="1"/>
        <c:lblAlgn val="ctr"/>
        <c:lblOffset val="100"/>
      </c:catAx>
      <c:valAx>
        <c:axId val="78293632"/>
        <c:scaling>
          <c:orientation val="minMax"/>
        </c:scaling>
        <c:axPos val="l"/>
        <c:majorGridlines/>
        <c:numFmt formatCode="General" sourceLinked="1"/>
        <c:tickLblPos val="nextTo"/>
        <c:crossAx val="78292096"/>
        <c:crosses val="autoZero"/>
        <c:crossBetween val="between"/>
      </c:valAx>
    </c:plotArea>
    <c:plotVisOnly val="1"/>
  </c:chart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mk-MK"/>
              <a:t>Сторители</a:t>
            </a:r>
            <a:r>
              <a:rPr lang="mk-MK" baseline="0"/>
              <a:t> </a:t>
            </a:r>
            <a:endParaRPr lang="en-US"/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0.13006790640637464"/>
          <c:y val="0.14070632639357555"/>
          <c:w val="0.84219211679306361"/>
          <c:h val="0.71311942163740749"/>
        </c:manualLayout>
      </c:layout>
      <c:barChart>
        <c:barDir val="bar"/>
        <c:grouping val="clustered"/>
        <c:ser>
          <c:idx val="0"/>
          <c:order val="0"/>
          <c:tx>
            <c:strRef>
              <c:f>'Вкупен криминалитетот'!$B$1</c:f>
              <c:strCache>
                <c:ptCount val="1"/>
              </c:strCache>
            </c:strRef>
          </c:tx>
          <c:cat>
            <c:strRef>
              <c:f>'Вкупен криминалитетот'!$A$2:$A$11</c:f>
              <c:strCache>
                <c:ptCount val="10"/>
                <c:pt idx="1">
                  <c:v>СВР Скопје</c:v>
                </c:pt>
                <c:pt idx="2">
                  <c:v>СВР Битола</c:v>
                </c:pt>
                <c:pt idx="3">
                  <c:v>СВР Велес</c:v>
                </c:pt>
                <c:pt idx="4">
                  <c:v>СВР Куманово</c:v>
                </c:pt>
                <c:pt idx="5">
                  <c:v>СВР Охрид</c:v>
                </c:pt>
                <c:pt idx="6">
                  <c:v>СВР Струмица</c:v>
                </c:pt>
                <c:pt idx="7">
                  <c:v>СВР Тетово</c:v>
                </c:pt>
                <c:pt idx="8">
                  <c:v>СВР Штип</c:v>
                </c:pt>
                <c:pt idx="9">
                  <c:v>ОСОСК</c:v>
                </c:pt>
              </c:strCache>
            </c:strRef>
          </c:cat>
          <c:val>
            <c:numRef>
              <c:f>'Вкупен криминалитетот'!$B$2:$B$11</c:f>
              <c:numCache>
                <c:formatCode>General</c:formatCode>
                <c:ptCount val="10"/>
              </c:numCache>
            </c:numRef>
          </c:val>
        </c:ser>
        <c:ser>
          <c:idx val="1"/>
          <c:order val="1"/>
          <c:tx>
            <c:strRef>
              <c:f>'Вкупен криминалитетот'!$G$1</c:f>
              <c:strCache>
                <c:ptCount val="1"/>
                <c:pt idx="0">
                  <c:v>Сторители</c:v>
                </c:pt>
              </c:strCache>
            </c:strRef>
          </c:tx>
          <c:dLbls>
            <c:showVal val="1"/>
          </c:dLbls>
          <c:cat>
            <c:strRef>
              <c:f>'Вкупен криминалитетот'!$A$2:$A$11</c:f>
              <c:strCache>
                <c:ptCount val="10"/>
                <c:pt idx="1">
                  <c:v>СВР Скопје</c:v>
                </c:pt>
                <c:pt idx="2">
                  <c:v>СВР Битола</c:v>
                </c:pt>
                <c:pt idx="3">
                  <c:v>СВР Велес</c:v>
                </c:pt>
                <c:pt idx="4">
                  <c:v>СВР Куманово</c:v>
                </c:pt>
                <c:pt idx="5">
                  <c:v>СВР Охрид</c:v>
                </c:pt>
                <c:pt idx="6">
                  <c:v>СВР Струмица</c:v>
                </c:pt>
                <c:pt idx="7">
                  <c:v>СВР Тетово</c:v>
                </c:pt>
                <c:pt idx="8">
                  <c:v>СВР Штип</c:v>
                </c:pt>
                <c:pt idx="9">
                  <c:v>ОСОСК</c:v>
                </c:pt>
              </c:strCache>
            </c:strRef>
          </c:cat>
          <c:val>
            <c:numRef>
              <c:f>'Вкупен криминалитетот'!$G$2:$G$11</c:f>
              <c:numCache>
                <c:formatCode>General</c:formatCode>
                <c:ptCount val="10"/>
                <c:pt idx="1">
                  <c:v>4068</c:v>
                </c:pt>
                <c:pt idx="2">
                  <c:v>1683</c:v>
                </c:pt>
                <c:pt idx="3">
                  <c:v>945</c:v>
                </c:pt>
                <c:pt idx="4">
                  <c:v>1107</c:v>
                </c:pt>
                <c:pt idx="5">
                  <c:v>1185</c:v>
                </c:pt>
                <c:pt idx="6">
                  <c:v>1272</c:v>
                </c:pt>
                <c:pt idx="7">
                  <c:v>1962</c:v>
                </c:pt>
                <c:pt idx="8">
                  <c:v>1411</c:v>
                </c:pt>
                <c:pt idx="9">
                  <c:v>367</c:v>
                </c:pt>
              </c:numCache>
            </c:numRef>
          </c:val>
        </c:ser>
        <c:axId val="79436800"/>
        <c:axId val="79467264"/>
      </c:barChart>
      <c:catAx>
        <c:axId val="79436800"/>
        <c:scaling>
          <c:orientation val="maxMin"/>
        </c:scaling>
        <c:axPos val="l"/>
        <c:tickLblPos val="nextTo"/>
        <c:crossAx val="79467264"/>
        <c:crosses val="autoZero"/>
        <c:auto val="1"/>
        <c:lblAlgn val="ctr"/>
        <c:lblOffset val="100"/>
      </c:catAx>
      <c:valAx>
        <c:axId val="79467264"/>
        <c:scaling>
          <c:orientation val="minMax"/>
        </c:scaling>
        <c:axPos val="b"/>
        <c:majorGridlines/>
        <c:numFmt formatCode="General" sourceLinked="1"/>
        <c:tickLblPos val="nextTo"/>
        <c:crossAx val="79436800"/>
        <c:crosses val="max"/>
        <c:crossBetween val="between"/>
      </c:valAx>
    </c:plotArea>
    <c:plotVisOnly val="1"/>
  </c:chart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mk-MK"/>
              <a:t>Стапката</a:t>
            </a:r>
            <a:r>
              <a:rPr lang="mk-MK" baseline="0"/>
              <a:t> на криминалитетот</a:t>
            </a:r>
            <a:endParaRPr lang="en-US"/>
          </a:p>
        </c:rich>
      </c:tx>
      <c:layout>
        <c:manualLayout>
          <c:xMode val="edge"/>
          <c:yMode val="edge"/>
          <c:x val="0.26288290210619081"/>
          <c:y val="5.5721410497562754E-2"/>
        </c:manualLayout>
      </c:layout>
      <c:overlay val="1"/>
    </c:title>
    <c:plotArea>
      <c:layout>
        <c:manualLayout>
          <c:layoutTarget val="inner"/>
          <c:xMode val="edge"/>
          <c:yMode val="edge"/>
          <c:x val="7.6636059410440202E-2"/>
          <c:y val="0.18443438218680225"/>
          <c:w val="0.89053672225205871"/>
          <c:h val="0.6382906009623851"/>
        </c:manualLayout>
      </c:layout>
      <c:lineChart>
        <c:grouping val="stacked"/>
        <c:ser>
          <c:idx val="0"/>
          <c:order val="0"/>
          <c:tx>
            <c:v>2024 година</c:v>
          </c:tx>
          <c:dLbls>
            <c:dLbl>
              <c:idx val="2"/>
              <c:layout>
                <c:manualLayout>
                  <c:x val="0"/>
                  <c:y val="-3.980100749825919E-2"/>
                </c:manualLayout>
              </c:layout>
              <c:showVal val="1"/>
            </c:dLbl>
            <c:dLbl>
              <c:idx val="3"/>
              <c:layout>
                <c:manualLayout>
                  <c:x val="0"/>
                  <c:y val="-1.990050374912964E-2"/>
                </c:manualLayout>
              </c:layout>
              <c:showVal val="1"/>
            </c:dLbl>
            <c:dLbl>
              <c:idx val="4"/>
              <c:layout>
                <c:manualLayout>
                  <c:x val="-6.1776056767818338E-3"/>
                  <c:y val="-3.5820906748433259E-2"/>
                </c:manualLayout>
              </c:layout>
              <c:showVal val="1"/>
            </c:dLbl>
            <c:dLbl>
              <c:idx val="6"/>
              <c:layout>
                <c:manualLayout>
                  <c:x val="0"/>
                  <c:y val="-1.990050374912964E-2"/>
                </c:manualLayout>
              </c:layout>
              <c:showVal val="1"/>
            </c:dLbl>
            <c:showVal val="1"/>
          </c:dLbls>
          <c:cat>
            <c:strRef>
              <c:f>'Вкупен криминалитетот'!$A$3:$B$11</c:f>
              <c:strCache>
                <c:ptCount val="9"/>
                <c:pt idx="0">
                  <c:v>СВР Скопје</c:v>
                </c:pt>
                <c:pt idx="1">
                  <c:v>СВР Битола</c:v>
                </c:pt>
                <c:pt idx="2">
                  <c:v>СВР Велес</c:v>
                </c:pt>
                <c:pt idx="3">
                  <c:v>СВР Куманово</c:v>
                </c:pt>
                <c:pt idx="4">
                  <c:v>СВР Охрид</c:v>
                </c:pt>
                <c:pt idx="5">
                  <c:v>СВР Струмица</c:v>
                </c:pt>
                <c:pt idx="6">
                  <c:v>СВР Тетово</c:v>
                </c:pt>
                <c:pt idx="7">
                  <c:v>СВР Штип</c:v>
                </c:pt>
                <c:pt idx="8">
                  <c:v>ОСОСК</c:v>
                </c:pt>
              </c:strCache>
            </c:strRef>
          </c:cat>
          <c:val>
            <c:numRef>
              <c:f>'Вкупен криминалитетот'!$H$3:$H$11</c:f>
              <c:numCache>
                <c:formatCode>0.00</c:formatCode>
                <c:ptCount val="9"/>
                <c:pt idx="0">
                  <c:v>434.53</c:v>
                </c:pt>
                <c:pt idx="1">
                  <c:v>118.04</c:v>
                </c:pt>
                <c:pt idx="2">
                  <c:v>53.57</c:v>
                </c:pt>
                <c:pt idx="3">
                  <c:v>67.78</c:v>
                </c:pt>
                <c:pt idx="4">
                  <c:v>71.489999999999995</c:v>
                </c:pt>
                <c:pt idx="5">
                  <c:v>66.209999999999994</c:v>
                </c:pt>
                <c:pt idx="6">
                  <c:v>107.75</c:v>
                </c:pt>
                <c:pt idx="7">
                  <c:v>92.88</c:v>
                </c:pt>
                <c:pt idx="8">
                  <c:v>7.35</c:v>
                </c:pt>
              </c:numCache>
            </c:numRef>
          </c:val>
        </c:ser>
        <c:marker val="1"/>
        <c:axId val="79491456"/>
        <c:axId val="79492992"/>
      </c:lineChart>
      <c:catAx>
        <c:axId val="79491456"/>
        <c:scaling>
          <c:orientation val="minMax"/>
        </c:scaling>
        <c:axPos val="b"/>
        <c:tickLblPos val="nextTo"/>
        <c:crossAx val="79492992"/>
        <c:crosses val="autoZero"/>
        <c:auto val="1"/>
        <c:lblAlgn val="ctr"/>
        <c:lblOffset val="100"/>
      </c:catAx>
      <c:valAx>
        <c:axId val="79492992"/>
        <c:scaling>
          <c:orientation val="minMax"/>
        </c:scaling>
        <c:axPos val="l"/>
        <c:majorGridlines/>
        <c:numFmt formatCode="#,##0" sourceLinked="0"/>
        <c:tickLblPos val="nextTo"/>
        <c:crossAx val="79491456"/>
        <c:crosses val="autoZero"/>
        <c:crossBetween val="between"/>
      </c:valAx>
    </c:plotArea>
    <c:plotVisOnly val="1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mk-MK"/>
              <a:t>Вкупна</a:t>
            </a:r>
            <a:r>
              <a:rPr lang="mk-MK" baseline="0"/>
              <a:t> ефикасност 2024</a:t>
            </a:r>
            <a:endParaRPr lang="en-US"/>
          </a:p>
        </c:rich>
      </c:tx>
      <c:layout>
        <c:manualLayout>
          <c:xMode val="edge"/>
          <c:yMode val="edge"/>
          <c:x val="0.31801979524456997"/>
          <c:y val="4.4191141184026832E-2"/>
        </c:manualLayout>
      </c:layout>
      <c:overlay val="1"/>
    </c:title>
    <c:plotArea>
      <c:layout>
        <c:manualLayout>
          <c:layoutTarget val="inner"/>
          <c:xMode val="edge"/>
          <c:yMode val="edge"/>
          <c:x val="0.16379709225301584"/>
          <c:y val="0.23419379108013591"/>
          <c:w val="0.77435830012894424"/>
          <c:h val="0.68688688883351323"/>
        </c:manualLayout>
      </c:layout>
      <c:barChart>
        <c:barDir val="bar"/>
        <c:grouping val="clustered"/>
        <c:ser>
          <c:idx val="0"/>
          <c:order val="0"/>
          <c:dLbls>
            <c:showVal val="1"/>
          </c:dLbls>
          <c:cat>
            <c:strRef>
              <c:f>'Вкупен криминалитетот'!$A$3:$B$11</c:f>
              <c:strCache>
                <c:ptCount val="9"/>
                <c:pt idx="0">
                  <c:v>СВР Скопје</c:v>
                </c:pt>
                <c:pt idx="1">
                  <c:v>СВР Битола</c:v>
                </c:pt>
                <c:pt idx="2">
                  <c:v>СВР Велес</c:v>
                </c:pt>
                <c:pt idx="3">
                  <c:v>СВР Куманово</c:v>
                </c:pt>
                <c:pt idx="4">
                  <c:v>СВР Охрид</c:v>
                </c:pt>
                <c:pt idx="5">
                  <c:v>СВР Струмица</c:v>
                </c:pt>
                <c:pt idx="6">
                  <c:v>СВР Тетово</c:v>
                </c:pt>
                <c:pt idx="7">
                  <c:v>СВР Штип</c:v>
                </c:pt>
                <c:pt idx="8">
                  <c:v>ОСОСК</c:v>
                </c:pt>
              </c:strCache>
            </c:strRef>
          </c:cat>
          <c:val>
            <c:numRef>
              <c:f>'Вкупен криминалитетот'!$I$3:$I$11</c:f>
              <c:numCache>
                <c:formatCode>#,##0.0</c:formatCode>
                <c:ptCount val="9"/>
                <c:pt idx="0">
                  <c:v>40.9</c:v>
                </c:pt>
                <c:pt idx="1">
                  <c:v>63.2</c:v>
                </c:pt>
                <c:pt idx="2">
                  <c:v>73.599999999999994</c:v>
                </c:pt>
                <c:pt idx="3">
                  <c:v>73.8</c:v>
                </c:pt>
                <c:pt idx="4">
                  <c:v>77.7</c:v>
                </c:pt>
                <c:pt idx="5">
                  <c:v>84.7</c:v>
                </c:pt>
                <c:pt idx="6">
                  <c:v>82.7</c:v>
                </c:pt>
                <c:pt idx="7">
                  <c:v>69.099999999999994</c:v>
                </c:pt>
                <c:pt idx="8">
                  <c:v>100</c:v>
                </c:pt>
              </c:numCache>
            </c:numRef>
          </c:val>
        </c:ser>
        <c:axId val="79926784"/>
        <c:axId val="79928320"/>
      </c:barChart>
      <c:catAx>
        <c:axId val="79926784"/>
        <c:scaling>
          <c:orientation val="maxMin"/>
        </c:scaling>
        <c:axPos val="l"/>
        <c:tickLblPos val="nextTo"/>
        <c:crossAx val="79928320"/>
        <c:crossesAt val="0"/>
        <c:auto val="1"/>
        <c:lblAlgn val="ctr"/>
        <c:lblOffset val="100"/>
      </c:catAx>
      <c:valAx>
        <c:axId val="79928320"/>
        <c:scaling>
          <c:orientation val="minMax"/>
        </c:scaling>
        <c:axPos val="b"/>
        <c:majorGridlines/>
        <c:numFmt formatCode="#,##0" sourceLinked="0"/>
        <c:tickLblPos val="nextTo"/>
        <c:crossAx val="79926784"/>
        <c:crosses val="max"/>
        <c:crossBetween val="between"/>
      </c:valAx>
    </c:plotArea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mk-MK"/>
              <a:t>Недозволена</a:t>
            </a:r>
            <a:r>
              <a:rPr lang="mk-MK" baseline="0"/>
              <a:t> трговија со дрога</a:t>
            </a:r>
            <a:endParaRPr lang="en-US"/>
          </a:p>
        </c:rich>
      </c:tx>
      <c:layout>
        <c:manualLayout>
          <c:xMode val="edge"/>
          <c:yMode val="edge"/>
          <c:x val="0.19966534376175193"/>
          <c:y val="4.1719586908010434E-2"/>
        </c:manualLayout>
      </c:layout>
    </c:title>
    <c:plotArea>
      <c:layout>
        <c:manualLayout>
          <c:layoutTarget val="inner"/>
          <c:xMode val="edge"/>
          <c:yMode val="edge"/>
          <c:x val="0.29996624233685892"/>
          <c:y val="0.19899762019258851"/>
          <c:w val="0.41970019526209407"/>
          <c:h val="0.73684198893422703"/>
        </c:manualLayout>
      </c:layout>
      <c:pieChart>
        <c:varyColors val="1"/>
        <c:ser>
          <c:idx val="0"/>
          <c:order val="0"/>
          <c:explosion val="25"/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5.7%</a:t>
                    </a:r>
                  </a:p>
                </c:rich>
              </c:tx>
              <c:showPercent val="1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-8.2%</a:t>
                    </a:r>
                  </a:p>
                </c:rich>
              </c:tx>
              <c:showPercent val="1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40.4%</a:t>
                    </a:r>
                  </a:p>
                  <a:p>
                    <a:endParaRPr lang="en-US"/>
                  </a:p>
                </c:rich>
              </c:tx>
              <c:showPercent val="1"/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5.7%</a:t>
                    </a:r>
                  </a:p>
                  <a:p>
                    <a:endParaRPr lang="en-US"/>
                  </a:p>
                </c:rich>
              </c:tx>
              <c:showPercent val="1"/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/>
                      <a:t>12.0%</a:t>
                    </a:r>
                  </a:p>
                </c:rich>
              </c:tx>
              <c:showPercent val="1"/>
            </c:dLbl>
            <c:dLbl>
              <c:idx val="5"/>
              <c:layout/>
              <c:tx>
                <c:rich>
                  <a:bodyPr/>
                  <a:lstStyle/>
                  <a:p>
                    <a:r>
                      <a:rPr lang="en-US"/>
                      <a:t>44.1%</a:t>
                    </a:r>
                  </a:p>
                </c:rich>
              </c:tx>
              <c:showPercent val="1"/>
            </c:dLbl>
            <c:dLbl>
              <c:idx val="6"/>
              <c:layout/>
              <c:tx>
                <c:rich>
                  <a:bodyPr/>
                  <a:lstStyle/>
                  <a:p>
                    <a:r>
                      <a:rPr lang="en-US"/>
                      <a:t>-10.4%</a:t>
                    </a:r>
                  </a:p>
                </c:rich>
              </c:tx>
              <c:showPercent val="1"/>
            </c:dLbl>
            <c:dLbl>
              <c:idx val="7"/>
              <c:layout/>
              <c:tx>
                <c:rich>
                  <a:bodyPr/>
                  <a:lstStyle/>
                  <a:p>
                    <a:r>
                      <a:rPr lang="en-US"/>
                      <a:t>5.6%</a:t>
                    </a:r>
                  </a:p>
                </c:rich>
              </c:tx>
              <c:showPercent val="1"/>
            </c:dLbl>
            <c:dLbl>
              <c:idx val="8"/>
              <c:layout/>
              <c:tx>
                <c:rich>
                  <a:bodyPr/>
                  <a:lstStyle/>
                  <a:p>
                    <a:r>
                      <a:rPr lang="en-US"/>
                      <a:t>100%</a:t>
                    </a:r>
                  </a:p>
                </c:rich>
              </c:tx>
              <c:showPercent val="1"/>
            </c:dLbl>
            <c:showPercent val="1"/>
            <c:showLeaderLines val="1"/>
          </c:dLbls>
          <c:cat>
            <c:strRef>
              <c:f>'Недозволена трговија со дрога'!$A$4:$C$12</c:f>
              <c:strCache>
                <c:ptCount val="9"/>
                <c:pt idx="0">
                  <c:v>СВР Скопје</c:v>
                </c:pt>
                <c:pt idx="1">
                  <c:v>СВР Битола</c:v>
                </c:pt>
                <c:pt idx="2">
                  <c:v>СВР Велес</c:v>
                </c:pt>
                <c:pt idx="3">
                  <c:v>СВР Куманово</c:v>
                </c:pt>
                <c:pt idx="4">
                  <c:v>СВР Охрид</c:v>
                </c:pt>
                <c:pt idx="5">
                  <c:v>СВР Струмица</c:v>
                </c:pt>
                <c:pt idx="6">
                  <c:v>СВР Тетово</c:v>
                </c:pt>
                <c:pt idx="7">
                  <c:v>СВР Штип</c:v>
                </c:pt>
                <c:pt idx="8">
                  <c:v>ОСОСК</c:v>
                </c:pt>
              </c:strCache>
            </c:strRef>
          </c:cat>
          <c:val>
            <c:numRef>
              <c:f>'Недозволена трговија со дрога'!$F$4:$F$12</c:f>
              <c:numCache>
                <c:formatCode>[Color3]0.0%\↗;[Color10]\-0.0%\↓;0.0%</c:formatCode>
                <c:ptCount val="9"/>
                <c:pt idx="0">
                  <c:v>5.7324840764331211E-2</c:v>
                </c:pt>
                <c:pt idx="1">
                  <c:v>-8.2089552238805971E-2</c:v>
                </c:pt>
                <c:pt idx="2">
                  <c:v>0.40384615384615385</c:v>
                </c:pt>
                <c:pt idx="3">
                  <c:v>5.6603773584905662E-2</c:v>
                </c:pt>
                <c:pt idx="4">
                  <c:v>0.11965811965811966</c:v>
                </c:pt>
                <c:pt idx="5">
                  <c:v>0.44117647058823528</c:v>
                </c:pt>
                <c:pt idx="6">
                  <c:v>-0.1044776119402985</c:v>
                </c:pt>
                <c:pt idx="7">
                  <c:v>5.5555555555555552E-2</c:v>
                </c:pt>
                <c:pt idx="8" formatCode="[Color3]00%\↗;[Color10]\-0.0%\↓;0.0%">
                  <c:v>1</c:v>
                </c:pt>
              </c:numCache>
            </c:numRef>
          </c:val>
        </c:ser>
        <c:dLbls>
          <c:showPercent val="1"/>
        </c:dLbls>
        <c:firstSliceAng val="0"/>
      </c:pieChart>
    </c:plotArea>
    <c:legend>
      <c:legendPos val="l"/>
      <c:layout>
        <c:manualLayout>
          <c:xMode val="edge"/>
          <c:yMode val="edge"/>
          <c:x val="4.7832581445327704E-2"/>
          <c:y val="0.21933120522096924"/>
          <c:w val="0.23527528592208041"/>
          <c:h val="0.62611250620699443"/>
        </c:manualLayout>
      </c:layout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mk-MK"/>
              <a:t>Сторители</a:t>
            </a:r>
            <a:endParaRPr lang="en-US"/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8.6177998958411065E-2"/>
          <c:y val="0.16275603768754279"/>
          <c:w val="0.86574718803010964"/>
          <c:h val="0.59518386752594499"/>
        </c:manualLayout>
      </c:layout>
      <c:barChart>
        <c:barDir val="col"/>
        <c:grouping val="clustered"/>
        <c:ser>
          <c:idx val="0"/>
          <c:order val="0"/>
          <c:tx>
            <c:v>2024 година</c:v>
          </c:tx>
          <c:dLbls>
            <c:showVal val="1"/>
          </c:dLbls>
          <c:cat>
            <c:strRef>
              <c:f>'Недозволена трговија со дрога'!$A$4:$C$12</c:f>
              <c:strCache>
                <c:ptCount val="9"/>
                <c:pt idx="0">
                  <c:v>СВР Скопје</c:v>
                </c:pt>
                <c:pt idx="1">
                  <c:v>СВР Битола</c:v>
                </c:pt>
                <c:pt idx="2">
                  <c:v>СВР Велес</c:v>
                </c:pt>
                <c:pt idx="3">
                  <c:v>СВР Куманово</c:v>
                </c:pt>
                <c:pt idx="4">
                  <c:v>СВР Охрид</c:v>
                </c:pt>
                <c:pt idx="5">
                  <c:v>СВР Струмица</c:v>
                </c:pt>
                <c:pt idx="6">
                  <c:v>СВР Тетово</c:v>
                </c:pt>
                <c:pt idx="7">
                  <c:v>СВР Штип</c:v>
                </c:pt>
                <c:pt idx="8">
                  <c:v>ОСОСК</c:v>
                </c:pt>
              </c:strCache>
            </c:strRef>
          </c:cat>
          <c:val>
            <c:numRef>
              <c:f>'Недозволена трговија со дрога'!$G$4:$G$12</c:f>
              <c:numCache>
                <c:formatCode>General</c:formatCode>
                <c:ptCount val="9"/>
                <c:pt idx="0">
                  <c:v>202</c:v>
                </c:pt>
                <c:pt idx="1">
                  <c:v>135</c:v>
                </c:pt>
                <c:pt idx="2">
                  <c:v>89</c:v>
                </c:pt>
                <c:pt idx="3">
                  <c:v>61</c:v>
                </c:pt>
                <c:pt idx="4">
                  <c:v>155</c:v>
                </c:pt>
                <c:pt idx="5">
                  <c:v>119</c:v>
                </c:pt>
                <c:pt idx="6">
                  <c:v>156</c:v>
                </c:pt>
                <c:pt idx="7">
                  <c:v>122</c:v>
                </c:pt>
                <c:pt idx="8">
                  <c:v>27</c:v>
                </c:pt>
              </c:numCache>
            </c:numRef>
          </c:val>
        </c:ser>
        <c:ser>
          <c:idx val="1"/>
          <c:order val="1"/>
          <c:tx>
            <c:v>2023 година</c:v>
          </c:tx>
          <c:dLbls>
            <c:showVal val="1"/>
          </c:dLbls>
          <c:cat>
            <c:strRef>
              <c:f>'Недозволена трговија со дрога'!$A$4:$C$12</c:f>
              <c:strCache>
                <c:ptCount val="9"/>
                <c:pt idx="0">
                  <c:v>СВР Скопје</c:v>
                </c:pt>
                <c:pt idx="1">
                  <c:v>СВР Битола</c:v>
                </c:pt>
                <c:pt idx="2">
                  <c:v>СВР Велес</c:v>
                </c:pt>
                <c:pt idx="3">
                  <c:v>СВР Куманово</c:v>
                </c:pt>
                <c:pt idx="4">
                  <c:v>СВР Охрид</c:v>
                </c:pt>
                <c:pt idx="5">
                  <c:v>СВР Струмица</c:v>
                </c:pt>
                <c:pt idx="6">
                  <c:v>СВР Тетово</c:v>
                </c:pt>
                <c:pt idx="7">
                  <c:v>СВР Штип</c:v>
                </c:pt>
                <c:pt idx="8">
                  <c:v>ОСОСК</c:v>
                </c:pt>
              </c:strCache>
            </c:strRef>
          </c:cat>
          <c:val>
            <c:numRef>
              <c:f>'Недозволена трговија со дрога'!$H$4:$H$12</c:f>
              <c:numCache>
                <c:formatCode>General</c:formatCode>
                <c:ptCount val="9"/>
                <c:pt idx="0">
                  <c:v>175</c:v>
                </c:pt>
                <c:pt idx="1">
                  <c:v>153</c:v>
                </c:pt>
                <c:pt idx="2">
                  <c:v>64</c:v>
                </c:pt>
                <c:pt idx="3">
                  <c:v>57</c:v>
                </c:pt>
                <c:pt idx="4">
                  <c:v>125</c:v>
                </c:pt>
                <c:pt idx="5">
                  <c:v>78</c:v>
                </c:pt>
                <c:pt idx="6">
                  <c:v>181</c:v>
                </c:pt>
                <c:pt idx="7">
                  <c:v>114</c:v>
                </c:pt>
                <c:pt idx="8">
                  <c:v>39</c:v>
                </c:pt>
              </c:numCache>
            </c:numRef>
          </c:val>
        </c:ser>
        <c:gapWidth val="50"/>
        <c:overlap val="-34"/>
        <c:axId val="81296000"/>
        <c:axId val="81305984"/>
      </c:barChart>
      <c:catAx>
        <c:axId val="81296000"/>
        <c:scaling>
          <c:orientation val="minMax"/>
        </c:scaling>
        <c:axPos val="b"/>
        <c:tickLblPos val="nextTo"/>
        <c:crossAx val="81305984"/>
        <c:crosses val="autoZero"/>
        <c:auto val="1"/>
        <c:lblAlgn val="ctr"/>
        <c:lblOffset val="100"/>
      </c:catAx>
      <c:valAx>
        <c:axId val="81305984"/>
        <c:scaling>
          <c:orientation val="minMax"/>
        </c:scaling>
        <c:axPos val="l"/>
        <c:majorGridlines/>
        <c:numFmt formatCode="General" sourceLinked="1"/>
        <c:tickLblPos val="nextTo"/>
        <c:crossAx val="81296000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mk-MK"/>
              <a:t>Сторители</a:t>
            </a:r>
            <a:endParaRPr lang="en-US"/>
          </a:p>
        </c:rich>
      </c:tx>
      <c:layout>
        <c:manualLayout>
          <c:xMode val="edge"/>
          <c:yMode val="edge"/>
          <c:x val="0.39219037620297592"/>
          <c:y val="4.5390077681365312E-2"/>
        </c:manualLayout>
      </c:layout>
      <c:overlay val="1"/>
    </c:title>
    <c:plotArea>
      <c:layout>
        <c:manualLayout>
          <c:layoutTarget val="inner"/>
          <c:xMode val="edge"/>
          <c:yMode val="edge"/>
          <c:x val="0.33761429623181416"/>
          <c:y val="0.17369150592006938"/>
          <c:w val="0.53192991055117556"/>
          <c:h val="0.78091841639856785"/>
        </c:manualLayout>
      </c:layout>
      <c:pieChart>
        <c:varyColors val="1"/>
        <c:ser>
          <c:idx val="0"/>
          <c:order val="0"/>
          <c:explosion val="25"/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15.4%</a:t>
                    </a:r>
                  </a:p>
                </c:rich>
              </c:tx>
              <c:showVal val="1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-11.8%</a:t>
                    </a:r>
                  </a:p>
                </c:rich>
              </c:tx>
              <c:showVal val="1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39.1%</a:t>
                    </a:r>
                  </a:p>
                </c:rich>
              </c:tx>
              <c:showVal val="1"/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7.0%</a:t>
                    </a:r>
                  </a:p>
                </c:rich>
              </c:tx>
              <c:showVal val="1"/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/>
                      <a:t>24.0%</a:t>
                    </a:r>
                  </a:p>
                </c:rich>
              </c:tx>
              <c:showVal val="1"/>
            </c:dLbl>
            <c:dLbl>
              <c:idx val="5"/>
              <c:layout/>
              <c:tx>
                <c:rich>
                  <a:bodyPr/>
                  <a:lstStyle/>
                  <a:p>
                    <a:r>
                      <a:rPr lang="en-US"/>
                      <a:t>52.6%</a:t>
                    </a:r>
                  </a:p>
                </c:rich>
              </c:tx>
              <c:showVal val="1"/>
            </c:dLbl>
            <c:dLbl>
              <c:idx val="6"/>
              <c:layout/>
              <c:tx>
                <c:rich>
                  <a:bodyPr/>
                  <a:lstStyle/>
                  <a:p>
                    <a:r>
                      <a:rPr lang="en-US"/>
                      <a:t>-13.8%</a:t>
                    </a:r>
                  </a:p>
                </c:rich>
              </c:tx>
              <c:showVal val="1"/>
            </c:dLbl>
            <c:dLbl>
              <c:idx val="7"/>
              <c:layout/>
              <c:tx>
                <c:rich>
                  <a:bodyPr/>
                  <a:lstStyle/>
                  <a:p>
                    <a:r>
                      <a:rPr lang="en-US"/>
                      <a:t>7.0%</a:t>
                    </a:r>
                  </a:p>
                </c:rich>
              </c:tx>
              <c:showVal val="1"/>
            </c:dLbl>
            <c:dLbl>
              <c:idx val="8"/>
              <c:layout/>
              <c:tx>
                <c:rich>
                  <a:bodyPr/>
                  <a:lstStyle/>
                  <a:p>
                    <a:r>
                      <a:rPr lang="en-US"/>
                      <a:t>-30.8%</a:t>
                    </a:r>
                  </a:p>
                </c:rich>
              </c:tx>
              <c:showVal val="1"/>
            </c:dLbl>
            <c:showVal val="1"/>
            <c:showLeaderLines val="1"/>
          </c:dLbls>
          <c:cat>
            <c:strRef>
              <c:f>'Недозволена трговија со дрога'!$A$4:$C$12</c:f>
              <c:strCache>
                <c:ptCount val="9"/>
                <c:pt idx="0">
                  <c:v>СВР Скопје</c:v>
                </c:pt>
                <c:pt idx="1">
                  <c:v>СВР Битола</c:v>
                </c:pt>
                <c:pt idx="2">
                  <c:v>СВР Велес</c:v>
                </c:pt>
                <c:pt idx="3">
                  <c:v>СВР Куманово</c:v>
                </c:pt>
                <c:pt idx="4">
                  <c:v>СВР Охрид</c:v>
                </c:pt>
                <c:pt idx="5">
                  <c:v>СВР Струмица</c:v>
                </c:pt>
                <c:pt idx="6">
                  <c:v>СВР Тетово</c:v>
                </c:pt>
                <c:pt idx="7">
                  <c:v>СВР Штип</c:v>
                </c:pt>
                <c:pt idx="8">
                  <c:v>ОСОСК</c:v>
                </c:pt>
              </c:strCache>
            </c:strRef>
          </c:cat>
          <c:val>
            <c:numRef>
              <c:f>'Недозволена трговија со дрога'!$I$4:$I$12</c:f>
              <c:numCache>
                <c:formatCode>[Color3]0.0%\↗;[Color10]\-0.0%\↓;0.0%</c:formatCode>
                <c:ptCount val="9"/>
                <c:pt idx="0">
                  <c:v>0.15428571428571428</c:v>
                </c:pt>
                <c:pt idx="1">
                  <c:v>-0.11764705882352941</c:v>
                </c:pt>
                <c:pt idx="2">
                  <c:v>0.390625</c:v>
                </c:pt>
                <c:pt idx="3">
                  <c:v>7.0175438596491224E-2</c:v>
                </c:pt>
                <c:pt idx="4">
                  <c:v>0.24</c:v>
                </c:pt>
                <c:pt idx="5">
                  <c:v>0.52564102564102566</c:v>
                </c:pt>
                <c:pt idx="6">
                  <c:v>-0.13812154696132597</c:v>
                </c:pt>
                <c:pt idx="7">
                  <c:v>7.0175438596491224E-2</c:v>
                </c:pt>
                <c:pt idx="8">
                  <c:v>-0.30769230769230771</c:v>
                </c:pt>
              </c:numCache>
            </c:numRef>
          </c:val>
        </c:ser>
        <c:firstSliceAng val="0"/>
      </c:pieChart>
    </c:plotArea>
    <c:legend>
      <c:legendPos val="r"/>
      <c:layout>
        <c:manualLayout>
          <c:xMode val="edge"/>
          <c:yMode val="edge"/>
          <c:x val="3.9048918885139464E-2"/>
          <c:y val="0.21490057369007631"/>
          <c:w val="0.19935457916285168"/>
          <c:h val="0.61558863246605888"/>
        </c:manualLayout>
      </c:layout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mk-MK"/>
              <a:t>Недозволена</a:t>
            </a:r>
            <a:r>
              <a:rPr lang="mk-MK" baseline="0"/>
              <a:t> трговија со дрога</a:t>
            </a:r>
            <a:endParaRPr lang="en-US"/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0.13939585593844833"/>
          <c:y val="0.16936124412332595"/>
          <c:w val="0.70651535020279321"/>
          <c:h val="0.64927565084967831"/>
        </c:manualLayout>
      </c:layout>
      <c:barChart>
        <c:barDir val="bar"/>
        <c:grouping val="clustered"/>
        <c:ser>
          <c:idx val="0"/>
          <c:order val="0"/>
          <c:tx>
            <c:strRef>
              <c:f>'Недозволена трговија со дрога'!$D$2</c:f>
              <c:strCache>
                <c:ptCount val="1"/>
                <c:pt idx="0">
                  <c:v>2024 година</c:v>
                </c:pt>
              </c:strCache>
            </c:strRef>
          </c:tx>
          <c:dLbls>
            <c:showVal val="1"/>
          </c:dLbls>
          <c:cat>
            <c:strRef>
              <c:f>'Недозволена трговија со дрога'!$A$3:$C$12</c:f>
              <c:strCache>
                <c:ptCount val="10"/>
                <c:pt idx="1">
                  <c:v>СВР Скопје</c:v>
                </c:pt>
                <c:pt idx="2">
                  <c:v>СВР Битола</c:v>
                </c:pt>
                <c:pt idx="3">
                  <c:v>СВР Велес</c:v>
                </c:pt>
                <c:pt idx="4">
                  <c:v>СВР Куманово</c:v>
                </c:pt>
                <c:pt idx="5">
                  <c:v>СВР Охрид</c:v>
                </c:pt>
                <c:pt idx="6">
                  <c:v>СВР Струмица</c:v>
                </c:pt>
                <c:pt idx="7">
                  <c:v>СВР Тетово</c:v>
                </c:pt>
                <c:pt idx="8">
                  <c:v>СВР Штип</c:v>
                </c:pt>
                <c:pt idx="9">
                  <c:v>ОСОСК</c:v>
                </c:pt>
              </c:strCache>
            </c:strRef>
          </c:cat>
          <c:val>
            <c:numRef>
              <c:f>'Недозволена трговија со дрога'!$D$3:$D$12</c:f>
              <c:numCache>
                <c:formatCode>General</c:formatCode>
                <c:ptCount val="10"/>
                <c:pt idx="1">
                  <c:v>166</c:v>
                </c:pt>
                <c:pt idx="2">
                  <c:v>123</c:v>
                </c:pt>
                <c:pt idx="3">
                  <c:v>73</c:v>
                </c:pt>
                <c:pt idx="4">
                  <c:v>56</c:v>
                </c:pt>
                <c:pt idx="5">
                  <c:v>131</c:v>
                </c:pt>
                <c:pt idx="6">
                  <c:v>98</c:v>
                </c:pt>
                <c:pt idx="7">
                  <c:v>120</c:v>
                </c:pt>
                <c:pt idx="8">
                  <c:v>114</c:v>
                </c:pt>
                <c:pt idx="9">
                  <c:v>10</c:v>
                </c:pt>
              </c:numCache>
            </c:numRef>
          </c:val>
        </c:ser>
        <c:ser>
          <c:idx val="1"/>
          <c:order val="1"/>
          <c:tx>
            <c:strRef>
              <c:f>'Недозволена трговија со дрога'!$E$2</c:f>
              <c:strCache>
                <c:ptCount val="1"/>
                <c:pt idx="0">
                  <c:v>2023 година</c:v>
                </c:pt>
              </c:strCache>
            </c:strRef>
          </c:tx>
          <c:dLbls>
            <c:showVal val="1"/>
          </c:dLbls>
          <c:cat>
            <c:strRef>
              <c:f>'Недозволена трговија со дрога'!$A$3:$C$12</c:f>
              <c:strCache>
                <c:ptCount val="10"/>
                <c:pt idx="1">
                  <c:v>СВР Скопје</c:v>
                </c:pt>
                <c:pt idx="2">
                  <c:v>СВР Битола</c:v>
                </c:pt>
                <c:pt idx="3">
                  <c:v>СВР Велес</c:v>
                </c:pt>
                <c:pt idx="4">
                  <c:v>СВР Куманово</c:v>
                </c:pt>
                <c:pt idx="5">
                  <c:v>СВР Охрид</c:v>
                </c:pt>
                <c:pt idx="6">
                  <c:v>СВР Струмица</c:v>
                </c:pt>
                <c:pt idx="7">
                  <c:v>СВР Тетово</c:v>
                </c:pt>
                <c:pt idx="8">
                  <c:v>СВР Штип</c:v>
                </c:pt>
                <c:pt idx="9">
                  <c:v>ОСОСК</c:v>
                </c:pt>
              </c:strCache>
            </c:strRef>
          </c:cat>
          <c:val>
            <c:numRef>
              <c:f>'Недозволена трговија со дрога'!$E$3:$E$12</c:f>
              <c:numCache>
                <c:formatCode>General</c:formatCode>
                <c:ptCount val="10"/>
                <c:pt idx="1">
                  <c:v>157</c:v>
                </c:pt>
                <c:pt idx="2">
                  <c:v>134</c:v>
                </c:pt>
                <c:pt idx="3">
                  <c:v>52</c:v>
                </c:pt>
                <c:pt idx="4">
                  <c:v>53</c:v>
                </c:pt>
                <c:pt idx="5">
                  <c:v>117</c:v>
                </c:pt>
                <c:pt idx="6">
                  <c:v>68</c:v>
                </c:pt>
                <c:pt idx="7">
                  <c:v>134</c:v>
                </c:pt>
                <c:pt idx="8">
                  <c:v>108</c:v>
                </c:pt>
                <c:pt idx="9">
                  <c:v>5</c:v>
                </c:pt>
              </c:numCache>
            </c:numRef>
          </c:val>
        </c:ser>
        <c:gapWidth val="50"/>
        <c:overlap val="-31"/>
        <c:axId val="81346560"/>
        <c:axId val="81348096"/>
      </c:barChart>
      <c:catAx>
        <c:axId val="81346560"/>
        <c:scaling>
          <c:orientation val="maxMin"/>
        </c:scaling>
        <c:axPos val="l"/>
        <c:tickLblPos val="nextTo"/>
        <c:crossAx val="81348096"/>
        <c:crosses val="autoZero"/>
        <c:auto val="1"/>
        <c:lblAlgn val="ctr"/>
        <c:lblOffset val="100"/>
      </c:catAx>
      <c:valAx>
        <c:axId val="81348096"/>
        <c:scaling>
          <c:orientation val="minMax"/>
        </c:scaling>
        <c:axPos val="b"/>
        <c:majorGridlines/>
        <c:numFmt formatCode="General" sourceLinked="1"/>
        <c:tickLblPos val="nextTo"/>
        <c:crossAx val="813465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6482537729992048"/>
          <c:y val="0.42062367923882754"/>
          <c:w val="0.12412108411713862"/>
          <c:h val="0.1587526415223468"/>
        </c:manualLayout>
      </c:layout>
    </c:legend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mk-MK"/>
              <a:t>Криумчарење</a:t>
            </a:r>
            <a:r>
              <a:rPr lang="mk-MK" baseline="0"/>
              <a:t> на мигранти</a:t>
            </a:r>
            <a:endParaRPr lang="en-US"/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0.43464654418197723"/>
          <c:y val="0.17592592592592593"/>
          <c:w val="0.46388888888889068"/>
          <c:h val="0.77314814814815014"/>
        </c:manualLayout>
      </c:layout>
      <c:pieChart>
        <c:varyColors val="1"/>
        <c:ser>
          <c:idx val="0"/>
          <c:order val="0"/>
          <c:explosion val="25"/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-37.8%</a:t>
                    </a:r>
                  </a:p>
                </c:rich>
              </c:tx>
              <c:showVal val="1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-37.5%</a:t>
                    </a:r>
                  </a:p>
                </c:rich>
              </c:tx>
              <c:showVal val="1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-34.5%</a:t>
                    </a:r>
                  </a:p>
                </c:rich>
              </c:tx>
              <c:showVal val="1"/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-64.5%</a:t>
                    </a:r>
                  </a:p>
                </c:rich>
              </c:tx>
              <c:showVal val="1"/>
            </c:dLbl>
            <c:showVal val="1"/>
            <c:showLeaderLines val="1"/>
          </c:dLbls>
          <c:cat>
            <c:strRef>
              <c:f>'Криумчарење на мигранти'!$A$2:$E$5</c:f>
              <c:strCache>
                <c:ptCount val="4"/>
                <c:pt idx="0">
                  <c:v>Откриени случаи</c:v>
                </c:pt>
                <c:pt idx="1">
                  <c:v>Број на кривични дела </c:v>
                </c:pt>
                <c:pt idx="2">
                  <c:v>Број на сторители</c:v>
                </c:pt>
                <c:pt idx="3">
                  <c:v>Број на криумчарени мигранти</c:v>
                </c:pt>
              </c:strCache>
            </c:strRef>
          </c:cat>
          <c:val>
            <c:numRef>
              <c:f>'Криумчарење на мигранти'!$L$2:$L$5</c:f>
              <c:numCache>
                <c:formatCode>[Color3]0.0%\↗;[Color10]\-0.0%\↓;0.0%</c:formatCode>
                <c:ptCount val="4"/>
                <c:pt idx="0">
                  <c:v>-0.3783783783783784</c:v>
                </c:pt>
                <c:pt idx="1">
                  <c:v>-0.375</c:v>
                </c:pt>
                <c:pt idx="2">
                  <c:v>-0.34453781512605042</c:v>
                </c:pt>
                <c:pt idx="3">
                  <c:v>-0.64493253373313342</c:v>
                </c:pt>
              </c:numCache>
            </c:numRef>
          </c:val>
        </c:ser>
        <c:ser>
          <c:idx val="1"/>
          <c:order val="1"/>
          <c:explosion val="25"/>
          <c:cat>
            <c:strRef>
              <c:f>'Криумчарење на мигранти'!$A$2:$E$5</c:f>
              <c:strCache>
                <c:ptCount val="4"/>
                <c:pt idx="0">
                  <c:v>Откриени случаи</c:v>
                </c:pt>
                <c:pt idx="1">
                  <c:v>Број на кривични дела </c:v>
                </c:pt>
                <c:pt idx="2">
                  <c:v>Број на сторители</c:v>
                </c:pt>
                <c:pt idx="3">
                  <c:v>Број на криумчарени мигранти</c:v>
                </c:pt>
              </c:strCache>
            </c:strRef>
          </c:cat>
          <c:val>
            <c:numRef>
              <c:f>'Криумчарење на мигранти'!$M$2:$M$5</c:f>
              <c:numCache>
                <c:formatCode>[Color3]0.0%\↗;[Color10]\-0.0%\↓;0.0%</c:formatCode>
                <c:ptCount val="4"/>
              </c:numCache>
            </c:numRef>
          </c:val>
        </c:ser>
        <c:ser>
          <c:idx val="2"/>
          <c:order val="2"/>
          <c:explosion val="25"/>
          <c:cat>
            <c:strRef>
              <c:f>'Криумчарење на мигранти'!$A$2:$E$5</c:f>
              <c:strCache>
                <c:ptCount val="4"/>
                <c:pt idx="0">
                  <c:v>Откриени случаи</c:v>
                </c:pt>
                <c:pt idx="1">
                  <c:v>Број на кривични дела </c:v>
                </c:pt>
                <c:pt idx="2">
                  <c:v>Број на сторители</c:v>
                </c:pt>
                <c:pt idx="3">
                  <c:v>Број на криумчарени мигранти</c:v>
                </c:pt>
              </c:strCache>
            </c:strRef>
          </c:cat>
          <c:val>
            <c:numRef>
              <c:f>'Криумчарење на мигранти'!$N$2:$N$5</c:f>
              <c:numCache>
                <c:formatCode>[Color3]0.0%\↗;[Color10]\-0.0%\↓;0.0%</c:formatCode>
                <c:ptCount val="4"/>
              </c:numCache>
            </c:numRef>
          </c:val>
        </c:ser>
        <c:firstSliceAng val="0"/>
      </c:pieChart>
    </c:plotArea>
    <c:legend>
      <c:legendPos val="r"/>
      <c:layout>
        <c:manualLayout>
          <c:xMode val="edge"/>
          <c:yMode val="edge"/>
          <c:x val="8.3765310586177255E-2"/>
          <c:y val="0.24383493729950423"/>
          <c:w val="0.3217902449693788"/>
          <c:h val="0.55862642169728782"/>
        </c:manualLayout>
      </c:layout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mk-MK"/>
              <a:t>Криумчарење</a:t>
            </a:r>
            <a:r>
              <a:rPr lang="mk-MK" baseline="0"/>
              <a:t> на мигранти</a:t>
            </a:r>
            <a:endParaRPr lang="en-US"/>
          </a:p>
        </c:rich>
      </c:tx>
      <c:layout>
        <c:manualLayout>
          <c:xMode val="edge"/>
          <c:yMode val="edge"/>
          <c:x val="0.3314466329103527"/>
          <c:y val="6.0124454140389104E-2"/>
        </c:manualLayout>
      </c:layout>
      <c:overlay val="1"/>
    </c:title>
    <c:plotArea>
      <c:layout>
        <c:manualLayout>
          <c:layoutTarget val="inner"/>
          <c:xMode val="edge"/>
          <c:yMode val="edge"/>
          <c:x val="6.929075732808293E-2"/>
          <c:y val="0.19454260824681588"/>
          <c:w val="0.8993061725418362"/>
          <c:h val="0.58640785380850391"/>
        </c:manualLayout>
      </c:layout>
      <c:barChart>
        <c:barDir val="col"/>
        <c:grouping val="clustered"/>
        <c:ser>
          <c:idx val="0"/>
          <c:order val="0"/>
          <c:cat>
            <c:strRef>
              <c:f>'Криумчарење на мигранти'!$A$2:$A$5</c:f>
              <c:strCache>
                <c:ptCount val="4"/>
                <c:pt idx="0">
                  <c:v>Откриени случаи</c:v>
                </c:pt>
                <c:pt idx="1">
                  <c:v>Број на кривични дела </c:v>
                </c:pt>
                <c:pt idx="2">
                  <c:v>Број на сторители</c:v>
                </c:pt>
                <c:pt idx="3">
                  <c:v>Број на криумчарени мигранти</c:v>
                </c:pt>
              </c:strCache>
            </c:strRef>
          </c:cat>
          <c:val>
            <c:numRef>
              <c:f>'Криумчарење на мигранти'!$B$2:$B$5</c:f>
              <c:numCache>
                <c:formatCode>General</c:formatCode>
                <c:ptCount val="4"/>
              </c:numCache>
            </c:numRef>
          </c:val>
        </c:ser>
        <c:ser>
          <c:idx val="1"/>
          <c:order val="1"/>
          <c:cat>
            <c:strRef>
              <c:f>'Криумчарење на мигранти'!$A$2:$A$5</c:f>
              <c:strCache>
                <c:ptCount val="4"/>
                <c:pt idx="0">
                  <c:v>Откриени случаи</c:v>
                </c:pt>
                <c:pt idx="1">
                  <c:v>Број на кривични дела </c:v>
                </c:pt>
                <c:pt idx="2">
                  <c:v>Број на сторители</c:v>
                </c:pt>
                <c:pt idx="3">
                  <c:v>Број на криумчарени мигранти</c:v>
                </c:pt>
              </c:strCache>
            </c:strRef>
          </c:cat>
          <c:val>
            <c:numRef>
              <c:f>'Криумчарење на мигранти'!$C$2:$C$5</c:f>
              <c:numCache>
                <c:formatCode>General</c:formatCode>
                <c:ptCount val="4"/>
              </c:numCache>
            </c:numRef>
          </c:val>
        </c:ser>
        <c:ser>
          <c:idx val="2"/>
          <c:order val="2"/>
          <c:cat>
            <c:strRef>
              <c:f>'Криумчарење на мигранти'!$A$2:$A$5</c:f>
              <c:strCache>
                <c:ptCount val="4"/>
                <c:pt idx="0">
                  <c:v>Откриени случаи</c:v>
                </c:pt>
                <c:pt idx="1">
                  <c:v>Број на кривични дела </c:v>
                </c:pt>
                <c:pt idx="2">
                  <c:v>Број на сторители</c:v>
                </c:pt>
                <c:pt idx="3">
                  <c:v>Број на криумчарени мигранти</c:v>
                </c:pt>
              </c:strCache>
            </c:strRef>
          </c:cat>
          <c:val>
            <c:numRef>
              <c:f>'Криумчарење на мигранти'!$D$2:$D$5</c:f>
              <c:numCache>
                <c:formatCode>General</c:formatCode>
                <c:ptCount val="4"/>
              </c:numCache>
            </c:numRef>
          </c:val>
        </c:ser>
        <c:ser>
          <c:idx val="3"/>
          <c:order val="3"/>
          <c:cat>
            <c:strRef>
              <c:f>'Криумчарење на мигранти'!$A$2:$A$5</c:f>
              <c:strCache>
                <c:ptCount val="4"/>
                <c:pt idx="0">
                  <c:v>Откриени случаи</c:v>
                </c:pt>
                <c:pt idx="1">
                  <c:v>Број на кривични дела </c:v>
                </c:pt>
                <c:pt idx="2">
                  <c:v>Број на сторители</c:v>
                </c:pt>
                <c:pt idx="3">
                  <c:v>Број на криумчарени мигранти</c:v>
                </c:pt>
              </c:strCache>
            </c:strRef>
          </c:cat>
          <c:val>
            <c:numRef>
              <c:f>'Криумчарење на мигранти'!$E$2:$E$5</c:f>
              <c:numCache>
                <c:formatCode>General</c:formatCode>
                <c:ptCount val="4"/>
              </c:numCache>
            </c:numRef>
          </c:val>
        </c:ser>
        <c:ser>
          <c:idx val="4"/>
          <c:order val="4"/>
          <c:tx>
            <c:v>2024 година</c:v>
          </c:tx>
          <c:spPr>
            <a:solidFill>
              <a:srgbClr val="4F81BD"/>
            </a:solidFill>
            <a:ln>
              <a:noFill/>
            </a:ln>
          </c:spPr>
          <c:dLbls>
            <c:showVal val="1"/>
          </c:dLbls>
          <c:cat>
            <c:strRef>
              <c:f>'Криумчарење на мигранти'!$A$2:$A$5</c:f>
              <c:strCache>
                <c:ptCount val="4"/>
                <c:pt idx="0">
                  <c:v>Откриени случаи</c:v>
                </c:pt>
                <c:pt idx="1">
                  <c:v>Број на кривични дела </c:v>
                </c:pt>
                <c:pt idx="2">
                  <c:v>Број на сторители</c:v>
                </c:pt>
                <c:pt idx="3">
                  <c:v>Број на криумчарени мигранти</c:v>
                </c:pt>
              </c:strCache>
            </c:strRef>
          </c:cat>
          <c:val>
            <c:numRef>
              <c:f>'Криумчарење на мигранти'!$F$2:$F$5</c:f>
              <c:numCache>
                <c:formatCode>General</c:formatCode>
                <c:ptCount val="4"/>
                <c:pt idx="0">
                  <c:v>69</c:v>
                </c:pt>
                <c:pt idx="1">
                  <c:v>60</c:v>
                </c:pt>
                <c:pt idx="2">
                  <c:v>78</c:v>
                </c:pt>
                <c:pt idx="3">
                  <c:v>487</c:v>
                </c:pt>
              </c:numCache>
            </c:numRef>
          </c:val>
        </c:ser>
        <c:ser>
          <c:idx val="5"/>
          <c:order val="5"/>
          <c:cat>
            <c:strRef>
              <c:f>'Криумчарење на мигранти'!$A$2:$A$5</c:f>
              <c:strCache>
                <c:ptCount val="4"/>
                <c:pt idx="0">
                  <c:v>Откриени случаи</c:v>
                </c:pt>
                <c:pt idx="1">
                  <c:v>Број на кривични дела </c:v>
                </c:pt>
                <c:pt idx="2">
                  <c:v>Број на сторители</c:v>
                </c:pt>
                <c:pt idx="3">
                  <c:v>Број на криумчарени мигранти</c:v>
                </c:pt>
              </c:strCache>
            </c:strRef>
          </c:cat>
          <c:val>
            <c:numRef>
              <c:f>'Криумчарење на мигранти'!$G$2:$G$5</c:f>
              <c:numCache>
                <c:formatCode>General</c:formatCode>
                <c:ptCount val="4"/>
              </c:numCache>
            </c:numRef>
          </c:val>
        </c:ser>
        <c:ser>
          <c:idx val="6"/>
          <c:order val="6"/>
          <c:cat>
            <c:strRef>
              <c:f>'Криумчарење на мигранти'!$A$2:$A$5</c:f>
              <c:strCache>
                <c:ptCount val="4"/>
                <c:pt idx="0">
                  <c:v>Откриени случаи</c:v>
                </c:pt>
                <c:pt idx="1">
                  <c:v>Број на кривични дела </c:v>
                </c:pt>
                <c:pt idx="2">
                  <c:v>Број на сторители</c:v>
                </c:pt>
                <c:pt idx="3">
                  <c:v>Број на криумчарени мигранти</c:v>
                </c:pt>
              </c:strCache>
            </c:strRef>
          </c:cat>
          <c:val>
            <c:numRef>
              <c:f>'Криумчарење на мигранти'!$H$2:$H$5</c:f>
              <c:numCache>
                <c:formatCode>General</c:formatCode>
                <c:ptCount val="4"/>
              </c:numCache>
            </c:numRef>
          </c:val>
        </c:ser>
        <c:ser>
          <c:idx val="7"/>
          <c:order val="7"/>
          <c:tx>
            <c:v>2023 година</c:v>
          </c:tx>
          <c:spPr>
            <a:solidFill>
              <a:srgbClr val="A5E9F9"/>
            </a:solidFill>
          </c:spPr>
          <c:dLbls>
            <c:showVal val="1"/>
          </c:dLbls>
          <c:cat>
            <c:strRef>
              <c:f>'Криумчарење на мигранти'!$A$2:$A$5</c:f>
              <c:strCache>
                <c:ptCount val="4"/>
                <c:pt idx="0">
                  <c:v>Откриени случаи</c:v>
                </c:pt>
                <c:pt idx="1">
                  <c:v>Број на кривични дела </c:v>
                </c:pt>
                <c:pt idx="2">
                  <c:v>Број на сторители</c:v>
                </c:pt>
                <c:pt idx="3">
                  <c:v>Број на криумчарени мигранти</c:v>
                </c:pt>
              </c:strCache>
            </c:strRef>
          </c:cat>
          <c:val>
            <c:numRef>
              <c:f>'Криумчарење на мигранти'!$I$2:$I$5</c:f>
              <c:numCache>
                <c:formatCode>General</c:formatCode>
                <c:ptCount val="4"/>
                <c:pt idx="0">
                  <c:v>111</c:v>
                </c:pt>
                <c:pt idx="1">
                  <c:v>96</c:v>
                </c:pt>
                <c:pt idx="2">
                  <c:v>119</c:v>
                </c:pt>
                <c:pt idx="3" formatCode="#,##0">
                  <c:v>1334</c:v>
                </c:pt>
              </c:numCache>
            </c:numRef>
          </c:val>
        </c:ser>
        <c:ser>
          <c:idx val="8"/>
          <c:order val="8"/>
          <c:cat>
            <c:strRef>
              <c:f>'Криумчарење на мигранти'!$A$2:$A$5</c:f>
              <c:strCache>
                <c:ptCount val="4"/>
                <c:pt idx="0">
                  <c:v>Откриени случаи</c:v>
                </c:pt>
                <c:pt idx="1">
                  <c:v>Број на кривични дела </c:v>
                </c:pt>
                <c:pt idx="2">
                  <c:v>Број на сторители</c:v>
                </c:pt>
                <c:pt idx="3">
                  <c:v>Број на криумчарени мигранти</c:v>
                </c:pt>
              </c:strCache>
            </c:strRef>
          </c:cat>
          <c:val>
            <c:numRef>
              <c:f>'Криумчарење на мигранти'!$J$2:$J$5</c:f>
              <c:numCache>
                <c:formatCode>General</c:formatCode>
                <c:ptCount val="4"/>
              </c:numCache>
            </c:numRef>
          </c:val>
        </c:ser>
        <c:ser>
          <c:idx val="9"/>
          <c:order val="9"/>
          <c:cat>
            <c:strRef>
              <c:f>'Криумчарење на мигранти'!$A$2:$A$5</c:f>
              <c:strCache>
                <c:ptCount val="4"/>
                <c:pt idx="0">
                  <c:v>Откриени случаи</c:v>
                </c:pt>
                <c:pt idx="1">
                  <c:v>Број на кривични дела </c:v>
                </c:pt>
                <c:pt idx="2">
                  <c:v>Број на сторители</c:v>
                </c:pt>
                <c:pt idx="3">
                  <c:v>Број на криумчарени мигранти</c:v>
                </c:pt>
              </c:strCache>
            </c:strRef>
          </c:cat>
          <c:val>
            <c:numRef>
              <c:f>'Криумчарење на мигранти'!$K$2:$K$5</c:f>
              <c:numCache>
                <c:formatCode>General</c:formatCode>
                <c:ptCount val="4"/>
              </c:numCache>
            </c:numRef>
          </c:val>
        </c:ser>
        <c:axId val="105745408"/>
        <c:axId val="114968832"/>
      </c:barChart>
      <c:catAx>
        <c:axId val="105745408"/>
        <c:scaling>
          <c:orientation val="minMax"/>
        </c:scaling>
        <c:axPos val="b"/>
        <c:tickLblPos val="nextTo"/>
        <c:crossAx val="114968832"/>
        <c:crosses val="autoZero"/>
        <c:auto val="1"/>
        <c:lblAlgn val="ctr"/>
        <c:lblOffset val="100"/>
      </c:catAx>
      <c:valAx>
        <c:axId val="114968832"/>
        <c:scaling>
          <c:orientation val="minMax"/>
        </c:scaling>
        <c:axPos val="l"/>
        <c:majorGridlines/>
        <c:numFmt formatCode="General" sourceLinked="1"/>
        <c:tickLblPos val="nextTo"/>
        <c:crossAx val="105745408"/>
        <c:crosses val="autoZero"/>
        <c:crossBetween val="between"/>
      </c:valAx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37836850702683494"/>
          <c:y val="0.89907311612281027"/>
          <c:w val="0.27738373392928867"/>
          <c:h val="7.0843909138359293E-2"/>
        </c:manualLayout>
      </c:layout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mk-MK"/>
              <a:t>Организиран</a:t>
            </a:r>
            <a:r>
              <a:rPr lang="mk-MK" baseline="0"/>
              <a:t> криминал</a:t>
            </a:r>
            <a:endParaRPr lang="en-US"/>
          </a:p>
        </c:rich>
      </c:tx>
      <c:layout>
        <c:manualLayout>
          <c:xMode val="edge"/>
          <c:yMode val="edge"/>
          <c:x val="0.3983214841278101"/>
          <c:y val="4.6706701260871494E-2"/>
        </c:manualLayout>
      </c:layout>
      <c:overlay val="1"/>
    </c:title>
    <c:plotArea>
      <c:layout>
        <c:manualLayout>
          <c:layoutTarget val="inner"/>
          <c:xMode val="edge"/>
          <c:yMode val="edge"/>
          <c:x val="0.32287925870214751"/>
          <c:y val="0.17228575022747686"/>
          <c:w val="0.66226106300190002"/>
          <c:h val="0.66255262426038364"/>
        </c:manualLayout>
      </c:layout>
      <c:barChart>
        <c:barDir val="bar"/>
        <c:grouping val="clustered"/>
        <c:ser>
          <c:idx val="0"/>
          <c:order val="0"/>
          <c:cat>
            <c:strRef>
              <c:f>'Организиран криминал'!$A$5:$F$14</c:f>
              <c:strCache>
                <c:ptCount val="9"/>
                <c:pt idx="0">
                  <c:v>Недозволена трговија со дрога</c:v>
                </c:pt>
                <c:pt idx="1">
                  <c:v>Недозволена трговија со дрога и оружје</c:v>
                </c:pt>
                <c:pt idx="3">
                  <c:v>Корупција</c:v>
                </c:pt>
                <c:pt idx="4">
                  <c:v>Криумчарење  мигранти</c:v>
                </c:pt>
                <c:pt idx="5">
                  <c:v>Трговија со луѓе-посредување во проституција</c:v>
                </c:pt>
                <c:pt idx="7">
                  <c:v>Сериозен и насилен криминал</c:v>
                </c:pt>
                <c:pt idx="8">
                  <c:v> Кривични дела против правосудство</c:v>
                </c:pt>
              </c:strCache>
            </c:strRef>
          </c:cat>
          <c:val>
            <c:numRef>
              <c:f>'Организиран криминал'!$A$5:$A$14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cat>
            <c:strRef>
              <c:f>'Организиран криминал'!$A$5:$F$14</c:f>
              <c:strCache>
                <c:ptCount val="9"/>
                <c:pt idx="0">
                  <c:v>Недозволена трговија со дрога</c:v>
                </c:pt>
                <c:pt idx="1">
                  <c:v>Недозволена трговија со дрога и оружје</c:v>
                </c:pt>
                <c:pt idx="3">
                  <c:v>Корупција</c:v>
                </c:pt>
                <c:pt idx="4">
                  <c:v>Криумчарење  мигранти</c:v>
                </c:pt>
                <c:pt idx="5">
                  <c:v>Трговија со луѓе-посредување во проституција</c:v>
                </c:pt>
                <c:pt idx="7">
                  <c:v>Сериозен и насилен криминал</c:v>
                </c:pt>
                <c:pt idx="8">
                  <c:v> Кривични дела против правосудство</c:v>
                </c:pt>
              </c:strCache>
            </c:strRef>
          </c:cat>
          <c:val>
            <c:numRef>
              <c:f>'Организиран криминал'!$B$5:$B$14</c:f>
              <c:numCache>
                <c:formatCode>General</c:formatCode>
                <c:ptCount val="10"/>
              </c:numCache>
            </c:numRef>
          </c:val>
        </c:ser>
        <c:ser>
          <c:idx val="2"/>
          <c:order val="2"/>
          <c:cat>
            <c:strRef>
              <c:f>'Организиран криминал'!$A$5:$F$14</c:f>
              <c:strCache>
                <c:ptCount val="9"/>
                <c:pt idx="0">
                  <c:v>Недозволена трговија со дрога</c:v>
                </c:pt>
                <c:pt idx="1">
                  <c:v>Недозволена трговија со дрога и оружје</c:v>
                </c:pt>
                <c:pt idx="3">
                  <c:v>Корупција</c:v>
                </c:pt>
                <c:pt idx="4">
                  <c:v>Криумчарење  мигранти</c:v>
                </c:pt>
                <c:pt idx="5">
                  <c:v>Трговија со луѓе-посредување во проституција</c:v>
                </c:pt>
                <c:pt idx="7">
                  <c:v>Сериозен и насилен криминал</c:v>
                </c:pt>
                <c:pt idx="8">
                  <c:v> Кривични дела против правосудство</c:v>
                </c:pt>
              </c:strCache>
            </c:strRef>
          </c:cat>
          <c:val>
            <c:numRef>
              <c:f>'Организиран криминал'!$C$5:$C$14</c:f>
              <c:numCache>
                <c:formatCode>General</c:formatCode>
                <c:ptCount val="10"/>
              </c:numCache>
            </c:numRef>
          </c:val>
        </c:ser>
        <c:ser>
          <c:idx val="3"/>
          <c:order val="3"/>
          <c:cat>
            <c:strRef>
              <c:f>'Организиран криминал'!$A$5:$F$14</c:f>
              <c:strCache>
                <c:ptCount val="9"/>
                <c:pt idx="0">
                  <c:v>Недозволена трговија со дрога</c:v>
                </c:pt>
                <c:pt idx="1">
                  <c:v>Недозволена трговија со дрога и оружје</c:v>
                </c:pt>
                <c:pt idx="3">
                  <c:v>Корупција</c:v>
                </c:pt>
                <c:pt idx="4">
                  <c:v>Криумчарење  мигранти</c:v>
                </c:pt>
                <c:pt idx="5">
                  <c:v>Трговија со луѓе-посредување во проституција</c:v>
                </c:pt>
                <c:pt idx="7">
                  <c:v>Сериозен и насилен криминал</c:v>
                </c:pt>
                <c:pt idx="8">
                  <c:v> Кривични дела против правосудство</c:v>
                </c:pt>
              </c:strCache>
            </c:strRef>
          </c:cat>
          <c:val>
            <c:numRef>
              <c:f>'Организиран криминал'!$D$5:$D$14</c:f>
              <c:numCache>
                <c:formatCode>General</c:formatCode>
                <c:ptCount val="10"/>
              </c:numCache>
            </c:numRef>
          </c:val>
        </c:ser>
        <c:ser>
          <c:idx val="4"/>
          <c:order val="4"/>
          <c:cat>
            <c:strRef>
              <c:f>'Организиран криминал'!$A$5:$F$14</c:f>
              <c:strCache>
                <c:ptCount val="9"/>
                <c:pt idx="0">
                  <c:v>Недозволена трговија со дрога</c:v>
                </c:pt>
                <c:pt idx="1">
                  <c:v>Недозволена трговија со дрога и оружје</c:v>
                </c:pt>
                <c:pt idx="3">
                  <c:v>Корупција</c:v>
                </c:pt>
                <c:pt idx="4">
                  <c:v>Криумчарење  мигранти</c:v>
                </c:pt>
                <c:pt idx="5">
                  <c:v>Трговија со луѓе-посредување во проституција</c:v>
                </c:pt>
                <c:pt idx="7">
                  <c:v>Сериозен и насилен криминал</c:v>
                </c:pt>
                <c:pt idx="8">
                  <c:v> Кривични дела против правосудство</c:v>
                </c:pt>
              </c:strCache>
            </c:strRef>
          </c:cat>
          <c:val>
            <c:numRef>
              <c:f>'Организиран криминал'!$E$5:$E$14</c:f>
              <c:numCache>
                <c:formatCode>General</c:formatCode>
                <c:ptCount val="10"/>
              </c:numCache>
            </c:numRef>
          </c:val>
        </c:ser>
        <c:ser>
          <c:idx val="5"/>
          <c:order val="5"/>
          <c:cat>
            <c:strRef>
              <c:f>'Организиран криминал'!$A$5:$F$14</c:f>
              <c:strCache>
                <c:ptCount val="9"/>
                <c:pt idx="0">
                  <c:v>Недозволена трговија со дрога</c:v>
                </c:pt>
                <c:pt idx="1">
                  <c:v>Недозволена трговија со дрога и оружје</c:v>
                </c:pt>
                <c:pt idx="3">
                  <c:v>Корупција</c:v>
                </c:pt>
                <c:pt idx="4">
                  <c:v>Криумчарење  мигранти</c:v>
                </c:pt>
                <c:pt idx="5">
                  <c:v>Трговија со луѓе-посредување во проституција</c:v>
                </c:pt>
                <c:pt idx="7">
                  <c:v>Сериозен и насилен криминал</c:v>
                </c:pt>
                <c:pt idx="8">
                  <c:v> Кривични дела против правосудство</c:v>
                </c:pt>
              </c:strCache>
            </c:strRef>
          </c:cat>
          <c:val>
            <c:numRef>
              <c:f>'Организиран криминал'!$F$5:$F$14</c:f>
              <c:numCache>
                <c:formatCode>General</c:formatCode>
                <c:ptCount val="10"/>
              </c:numCache>
            </c:numRef>
          </c:val>
        </c:ser>
        <c:ser>
          <c:idx val="6"/>
          <c:order val="6"/>
          <c:tx>
            <c:v>2024 година</c:v>
          </c:tx>
          <c:dLbls>
            <c:showVal val="1"/>
          </c:dLbls>
          <c:cat>
            <c:strRef>
              <c:f>'Организиран криминал'!$A$5:$F$14</c:f>
              <c:strCache>
                <c:ptCount val="9"/>
                <c:pt idx="0">
                  <c:v>Недозволена трговија со дрога</c:v>
                </c:pt>
                <c:pt idx="1">
                  <c:v>Недозволена трговија со дрога и оружје</c:v>
                </c:pt>
                <c:pt idx="3">
                  <c:v>Корупција</c:v>
                </c:pt>
                <c:pt idx="4">
                  <c:v>Криумчарење  мигранти</c:v>
                </c:pt>
                <c:pt idx="5">
                  <c:v>Трговија со луѓе-посредување во проституција</c:v>
                </c:pt>
                <c:pt idx="7">
                  <c:v>Сериозен и насилен криминал</c:v>
                </c:pt>
                <c:pt idx="8">
                  <c:v> Кривични дела против правосудство</c:v>
                </c:pt>
              </c:strCache>
            </c:strRef>
          </c:cat>
          <c:val>
            <c:numRef>
              <c:f>'Организиран криминал'!$G$5:$G$14</c:f>
              <c:numCache>
                <c:formatCode>General</c:formatCode>
                <c:ptCount val="10"/>
                <c:pt idx="0">
                  <c:v>8</c:v>
                </c:pt>
                <c:pt idx="1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</c:ser>
        <c:ser>
          <c:idx val="7"/>
          <c:order val="7"/>
          <c:cat>
            <c:strRef>
              <c:f>'Организиран криминал'!$A$5:$F$14</c:f>
              <c:strCache>
                <c:ptCount val="9"/>
                <c:pt idx="0">
                  <c:v>Недозволена трговија со дрога</c:v>
                </c:pt>
                <c:pt idx="1">
                  <c:v>Недозволена трговија со дрога и оружје</c:v>
                </c:pt>
                <c:pt idx="3">
                  <c:v>Корупција</c:v>
                </c:pt>
                <c:pt idx="4">
                  <c:v>Криумчарење  мигранти</c:v>
                </c:pt>
                <c:pt idx="5">
                  <c:v>Трговија со луѓе-посредување во проституција</c:v>
                </c:pt>
                <c:pt idx="7">
                  <c:v>Сериозен и насилен криминал</c:v>
                </c:pt>
                <c:pt idx="8">
                  <c:v> Кривични дела против правосудство</c:v>
                </c:pt>
              </c:strCache>
            </c:strRef>
          </c:cat>
          <c:val>
            <c:numRef>
              <c:f>'Организиран криминал'!$H$5:$H$14</c:f>
              <c:numCache>
                <c:formatCode>General</c:formatCode>
                <c:ptCount val="10"/>
              </c:numCache>
            </c:numRef>
          </c:val>
        </c:ser>
        <c:ser>
          <c:idx val="8"/>
          <c:order val="8"/>
          <c:tx>
            <c:v>2023 година</c:v>
          </c:tx>
          <c:dLbls>
            <c:showVal val="1"/>
          </c:dLbls>
          <c:cat>
            <c:strRef>
              <c:f>'Организиран криминал'!$A$5:$F$14</c:f>
              <c:strCache>
                <c:ptCount val="9"/>
                <c:pt idx="0">
                  <c:v>Недозволена трговија со дрога</c:v>
                </c:pt>
                <c:pt idx="1">
                  <c:v>Недозволена трговија со дрога и оружје</c:v>
                </c:pt>
                <c:pt idx="3">
                  <c:v>Корупција</c:v>
                </c:pt>
                <c:pt idx="4">
                  <c:v>Криумчарење  мигранти</c:v>
                </c:pt>
                <c:pt idx="5">
                  <c:v>Трговија со луѓе-посредување во проституција</c:v>
                </c:pt>
                <c:pt idx="7">
                  <c:v>Сериозен и насилен криминал</c:v>
                </c:pt>
                <c:pt idx="8">
                  <c:v> Кривични дела против правосудство</c:v>
                </c:pt>
              </c:strCache>
            </c:strRef>
          </c:cat>
          <c:val>
            <c:numRef>
              <c:f>'Организиран криминал'!$I$5:$I$14</c:f>
              <c:numCache>
                <c:formatCode>General</c:formatCode>
                <c:ptCount val="10"/>
                <c:pt idx="0">
                  <c:v>6</c:v>
                </c:pt>
                <c:pt idx="1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  <c:pt idx="7">
                  <c:v>0</c:v>
                </c:pt>
                <c:pt idx="8">
                  <c:v>1</c:v>
                </c:pt>
              </c:numCache>
            </c:numRef>
          </c:val>
        </c:ser>
        <c:ser>
          <c:idx val="9"/>
          <c:order val="9"/>
          <c:cat>
            <c:strRef>
              <c:f>'Организиран криминал'!$A$5:$F$14</c:f>
              <c:strCache>
                <c:ptCount val="9"/>
                <c:pt idx="0">
                  <c:v>Недозволена трговија со дрога</c:v>
                </c:pt>
                <c:pt idx="1">
                  <c:v>Недозволена трговија со дрога и оружје</c:v>
                </c:pt>
                <c:pt idx="3">
                  <c:v>Корупција</c:v>
                </c:pt>
                <c:pt idx="4">
                  <c:v>Криумчарење  мигранти</c:v>
                </c:pt>
                <c:pt idx="5">
                  <c:v>Трговија со луѓе-посредување во проституција</c:v>
                </c:pt>
                <c:pt idx="7">
                  <c:v>Сериозен и насилен криминал</c:v>
                </c:pt>
                <c:pt idx="8">
                  <c:v> Кривични дела против правосудство</c:v>
                </c:pt>
              </c:strCache>
            </c:strRef>
          </c:cat>
          <c:val>
            <c:numRef>
              <c:f>'Организиран криминал'!$J$5:$J$14</c:f>
              <c:numCache>
                <c:formatCode>General</c:formatCode>
                <c:ptCount val="10"/>
              </c:numCache>
            </c:numRef>
          </c:val>
        </c:ser>
        <c:gapWidth val="50"/>
        <c:overlap val="33"/>
        <c:axId val="81946880"/>
        <c:axId val="81948672"/>
      </c:barChart>
      <c:catAx>
        <c:axId val="81946880"/>
        <c:scaling>
          <c:orientation val="maxMin"/>
        </c:scaling>
        <c:axPos val="l"/>
        <c:tickLblPos val="nextTo"/>
        <c:crossAx val="81948672"/>
        <c:crosses val="autoZero"/>
        <c:auto val="1"/>
        <c:lblAlgn val="ctr"/>
        <c:lblOffset val="100"/>
      </c:catAx>
      <c:valAx>
        <c:axId val="81948672"/>
        <c:scaling>
          <c:orientation val="minMax"/>
        </c:scaling>
        <c:axPos val="b"/>
        <c:majorGridlines/>
        <c:numFmt formatCode="General" sourceLinked="1"/>
        <c:tickLblPos val="nextTo"/>
        <c:crossAx val="81946880"/>
        <c:crosses val="max"/>
        <c:crossBetween val="between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7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45166064212452633"/>
          <c:y val="0.86965457951643566"/>
          <c:w val="0.24460495964975332"/>
          <c:h val="0.12993711442662234"/>
        </c:manualLayout>
      </c:layout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mk-MK"/>
              <a:t>Членови</a:t>
            </a:r>
            <a:r>
              <a:rPr lang="mk-MK" baseline="0"/>
              <a:t> на криминални групи</a:t>
            </a:r>
            <a:endParaRPr lang="en-US"/>
          </a:p>
        </c:rich>
      </c:tx>
      <c:layout>
        <c:manualLayout>
          <c:xMode val="edge"/>
          <c:yMode val="edge"/>
          <c:x val="0.37969568530441478"/>
          <c:y val="4.4722613320376803E-2"/>
        </c:manualLayout>
      </c:layout>
      <c:overlay val="1"/>
    </c:title>
    <c:plotArea>
      <c:layout>
        <c:manualLayout>
          <c:layoutTarget val="inner"/>
          <c:xMode val="edge"/>
          <c:yMode val="edge"/>
          <c:x val="0.20011016192631792"/>
          <c:y val="0.16074081466222234"/>
          <c:w val="0.76770956553786673"/>
          <c:h val="0.67384829612674513"/>
        </c:manualLayout>
      </c:layout>
      <c:barChart>
        <c:barDir val="bar"/>
        <c:grouping val="clustered"/>
        <c:ser>
          <c:idx val="0"/>
          <c:order val="0"/>
          <c:tx>
            <c:v>2024 година</c:v>
          </c:tx>
          <c:dLbls>
            <c:showVal val="1"/>
          </c:dLbls>
          <c:cat>
            <c:strRef>
              <c:f>'Организиран криминал'!$A$5:$F$14</c:f>
              <c:strCache>
                <c:ptCount val="9"/>
                <c:pt idx="0">
                  <c:v>Недозволена трговија со дрога</c:v>
                </c:pt>
                <c:pt idx="1">
                  <c:v>Недозволена трговија со дрога и оружје</c:v>
                </c:pt>
                <c:pt idx="3">
                  <c:v>Корупција</c:v>
                </c:pt>
                <c:pt idx="4">
                  <c:v>Криумчарење  мигранти</c:v>
                </c:pt>
                <c:pt idx="5">
                  <c:v>Трговија со луѓе-посредување во проституција</c:v>
                </c:pt>
                <c:pt idx="7">
                  <c:v>Сериозен и насилен криминал</c:v>
                </c:pt>
                <c:pt idx="8">
                  <c:v> Кривични дела против правосудство</c:v>
                </c:pt>
              </c:strCache>
            </c:strRef>
          </c:cat>
          <c:val>
            <c:numRef>
              <c:f>'Организиран криминал'!$K$5:$K$14</c:f>
              <c:numCache>
                <c:formatCode>General</c:formatCode>
                <c:ptCount val="10"/>
                <c:pt idx="0">
                  <c:v>61</c:v>
                </c:pt>
                <c:pt idx="1">
                  <c:v>0</c:v>
                </c:pt>
                <c:pt idx="3">
                  <c:v>26</c:v>
                </c:pt>
                <c:pt idx="4">
                  <c:v>20</c:v>
                </c:pt>
                <c:pt idx="5">
                  <c:v>4</c:v>
                </c:pt>
                <c:pt idx="7">
                  <c:v>18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cat>
            <c:strRef>
              <c:f>'Организиран криминал'!$A$5:$F$14</c:f>
              <c:strCache>
                <c:ptCount val="9"/>
                <c:pt idx="0">
                  <c:v>Недозволена трговија со дрога</c:v>
                </c:pt>
                <c:pt idx="1">
                  <c:v>Недозволена трговија со дрога и оружје</c:v>
                </c:pt>
                <c:pt idx="3">
                  <c:v>Корупција</c:v>
                </c:pt>
                <c:pt idx="4">
                  <c:v>Криумчарење  мигранти</c:v>
                </c:pt>
                <c:pt idx="5">
                  <c:v>Трговија со луѓе-посредување во проституција</c:v>
                </c:pt>
                <c:pt idx="7">
                  <c:v>Сериозен и насилен криминал</c:v>
                </c:pt>
                <c:pt idx="8">
                  <c:v> Кривични дела против правосудство</c:v>
                </c:pt>
              </c:strCache>
            </c:strRef>
          </c:cat>
          <c:val>
            <c:numRef>
              <c:f>'Организиран криминал'!$L$5:$L$14</c:f>
              <c:numCache>
                <c:formatCode>General</c:formatCode>
                <c:ptCount val="10"/>
              </c:numCache>
            </c:numRef>
          </c:val>
        </c:ser>
        <c:ser>
          <c:idx val="2"/>
          <c:order val="2"/>
          <c:tx>
            <c:v>2023 година</c:v>
          </c:tx>
          <c:dLbls>
            <c:showVal val="1"/>
          </c:dLbls>
          <c:cat>
            <c:strRef>
              <c:f>'Организиран криминал'!$A$5:$F$14</c:f>
              <c:strCache>
                <c:ptCount val="9"/>
                <c:pt idx="0">
                  <c:v>Недозволена трговија со дрога</c:v>
                </c:pt>
                <c:pt idx="1">
                  <c:v>Недозволена трговија со дрога и оружје</c:v>
                </c:pt>
                <c:pt idx="3">
                  <c:v>Корупција</c:v>
                </c:pt>
                <c:pt idx="4">
                  <c:v>Криумчарење  мигранти</c:v>
                </c:pt>
                <c:pt idx="5">
                  <c:v>Трговија со луѓе-посредување во проституција</c:v>
                </c:pt>
                <c:pt idx="7">
                  <c:v>Сериозен и насилен криминал</c:v>
                </c:pt>
                <c:pt idx="8">
                  <c:v> Кривични дела против правосудство</c:v>
                </c:pt>
              </c:strCache>
            </c:strRef>
          </c:cat>
          <c:val>
            <c:numRef>
              <c:f>'Организиран криминал'!$M$5:$M$14</c:f>
              <c:numCache>
                <c:formatCode>General</c:formatCode>
                <c:ptCount val="10"/>
                <c:pt idx="0">
                  <c:v>24</c:v>
                </c:pt>
                <c:pt idx="1">
                  <c:v>41</c:v>
                </c:pt>
                <c:pt idx="3">
                  <c:v>30</c:v>
                </c:pt>
                <c:pt idx="4">
                  <c:v>24</c:v>
                </c:pt>
                <c:pt idx="5">
                  <c:v>0</c:v>
                </c:pt>
                <c:pt idx="7">
                  <c:v>0</c:v>
                </c:pt>
                <c:pt idx="8">
                  <c:v>4</c:v>
                </c:pt>
              </c:numCache>
            </c:numRef>
          </c:val>
        </c:ser>
        <c:ser>
          <c:idx val="3"/>
          <c:order val="3"/>
          <c:cat>
            <c:strRef>
              <c:f>'Организиран криминал'!$A$5:$F$14</c:f>
              <c:strCache>
                <c:ptCount val="9"/>
                <c:pt idx="0">
                  <c:v>Недозволена трговија со дрога</c:v>
                </c:pt>
                <c:pt idx="1">
                  <c:v>Недозволена трговија со дрога и оружје</c:v>
                </c:pt>
                <c:pt idx="3">
                  <c:v>Корупција</c:v>
                </c:pt>
                <c:pt idx="4">
                  <c:v>Криумчарење  мигранти</c:v>
                </c:pt>
                <c:pt idx="5">
                  <c:v>Трговија со луѓе-посредување во проституција</c:v>
                </c:pt>
                <c:pt idx="7">
                  <c:v>Сериозен и насилен криминал</c:v>
                </c:pt>
                <c:pt idx="8">
                  <c:v> Кривични дела против правосудство</c:v>
                </c:pt>
              </c:strCache>
            </c:strRef>
          </c:cat>
          <c:val>
            <c:numRef>
              <c:f>'Организиран криминал'!$N$5:$N$14</c:f>
              <c:numCache>
                <c:formatCode>General</c:formatCode>
                <c:ptCount val="10"/>
              </c:numCache>
            </c:numRef>
          </c:val>
        </c:ser>
        <c:axId val="82020224"/>
        <c:axId val="82021760"/>
      </c:barChart>
      <c:catAx>
        <c:axId val="82020224"/>
        <c:scaling>
          <c:orientation val="maxMin"/>
        </c:scaling>
        <c:axPos val="l"/>
        <c:tickLblPos val="nextTo"/>
        <c:crossAx val="82021760"/>
        <c:crosses val="autoZero"/>
        <c:auto val="1"/>
        <c:lblAlgn val="ctr"/>
        <c:lblOffset val="100"/>
      </c:catAx>
      <c:valAx>
        <c:axId val="82021760"/>
        <c:scaling>
          <c:orientation val="minMax"/>
        </c:scaling>
        <c:axPos val="b"/>
        <c:majorGridlines/>
        <c:numFmt formatCode="General" sourceLinked="1"/>
        <c:tickLblPos val="nextTo"/>
        <c:crossAx val="82020224"/>
        <c:crosses val="max"/>
        <c:crossBetween val="between"/>
      </c:valAx>
    </c:plotArea>
    <c:legend>
      <c:legendPos val="b"/>
      <c:legendEntry>
        <c:idx val="1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43843229874189182"/>
          <c:y val="0.93259482116974179"/>
          <c:w val="0.15166540701111786"/>
          <c:h val="4.7586624033697587E-2"/>
        </c:manualLayout>
      </c:layout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mk-MK"/>
              <a:t>Кривични</a:t>
            </a:r>
            <a:r>
              <a:rPr lang="mk-MK" baseline="0"/>
              <a:t> дела против државата</a:t>
            </a:r>
            <a:endParaRPr lang="en-US"/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0.31475885826771671"/>
          <c:y val="0.13920900982235668"/>
          <c:w val="0.56030227471566019"/>
          <c:h val="0.72006059627693131"/>
        </c:manualLayout>
      </c:layout>
      <c:barChart>
        <c:barDir val="bar"/>
        <c:grouping val="clustered"/>
        <c:ser>
          <c:idx val="0"/>
          <c:order val="0"/>
          <c:cat>
            <c:strRef>
              <c:f>'Кривични дела против државата'!$A$3:$A$16</c:f>
              <c:strCache>
                <c:ptCount val="14"/>
                <c:pt idx="0">
                  <c:v>Предизвикување омраза и нетрпеливост</c:v>
                </c:pt>
                <c:pt idx="4">
                  <c:v>Учество во странска војска и полиција</c:v>
                </c:pt>
                <c:pt idx="8">
                  <c:v>Неовластено навлегување и цртање на воени објекти</c:v>
                </c:pt>
                <c:pt idx="12">
                  <c:v>Служба во непријателска војска</c:v>
                </c:pt>
                <c:pt idx="13">
                  <c:v>Расна и друга дискриминација</c:v>
                </c:pt>
              </c:strCache>
            </c:strRef>
          </c:cat>
          <c:val>
            <c:numRef>
              <c:f>'Кривични дела против државата'!$B$3:$B$16</c:f>
              <c:numCache>
                <c:formatCode>General</c:formatCode>
                <c:ptCount val="14"/>
              </c:numCache>
            </c:numRef>
          </c:val>
        </c:ser>
        <c:ser>
          <c:idx val="1"/>
          <c:order val="1"/>
          <c:cat>
            <c:strRef>
              <c:f>'Кривични дела против државата'!$A$3:$A$16</c:f>
              <c:strCache>
                <c:ptCount val="14"/>
                <c:pt idx="0">
                  <c:v>Предизвикување омраза и нетрпеливост</c:v>
                </c:pt>
                <c:pt idx="4">
                  <c:v>Учество во странска војска и полиција</c:v>
                </c:pt>
                <c:pt idx="8">
                  <c:v>Неовластено навлегување и цртање на воени објекти</c:v>
                </c:pt>
                <c:pt idx="12">
                  <c:v>Служба во непријателска војска</c:v>
                </c:pt>
                <c:pt idx="13">
                  <c:v>Расна и друга дискриминација</c:v>
                </c:pt>
              </c:strCache>
            </c:strRef>
          </c:cat>
          <c:val>
            <c:numRef>
              <c:f>'Кривични дела против државата'!$C$3:$C$16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cat>
            <c:strRef>
              <c:f>'Кривични дела против државата'!$A$3:$A$16</c:f>
              <c:strCache>
                <c:ptCount val="14"/>
                <c:pt idx="0">
                  <c:v>Предизвикување омраза и нетрпеливост</c:v>
                </c:pt>
                <c:pt idx="4">
                  <c:v>Учество во странска војска и полиција</c:v>
                </c:pt>
                <c:pt idx="8">
                  <c:v>Неовластено навлегување и цртање на воени објекти</c:v>
                </c:pt>
                <c:pt idx="12">
                  <c:v>Служба во непријателска војска</c:v>
                </c:pt>
                <c:pt idx="13">
                  <c:v>Расна и друга дискриминација</c:v>
                </c:pt>
              </c:strCache>
            </c:strRef>
          </c:cat>
          <c:val>
            <c:numRef>
              <c:f>'Кривични дела против државата'!$D$3:$D$16</c:f>
              <c:numCache>
                <c:formatCode>General</c:formatCode>
                <c:ptCount val="14"/>
              </c:numCache>
            </c:numRef>
          </c:val>
        </c:ser>
        <c:ser>
          <c:idx val="3"/>
          <c:order val="3"/>
          <c:cat>
            <c:strRef>
              <c:f>'Кривични дела против државата'!$A$3:$A$16</c:f>
              <c:strCache>
                <c:ptCount val="14"/>
                <c:pt idx="0">
                  <c:v>Предизвикување омраза и нетрпеливост</c:v>
                </c:pt>
                <c:pt idx="4">
                  <c:v>Учество во странска војска и полиција</c:v>
                </c:pt>
                <c:pt idx="8">
                  <c:v>Неовластено навлегување и цртање на воени објекти</c:v>
                </c:pt>
                <c:pt idx="12">
                  <c:v>Служба во непријателска војска</c:v>
                </c:pt>
                <c:pt idx="13">
                  <c:v>Расна и друга дискриминација</c:v>
                </c:pt>
              </c:strCache>
            </c:strRef>
          </c:cat>
          <c:val>
            <c:numRef>
              <c:f>'Кривични дела против државата'!$E$3:$E$16</c:f>
              <c:numCache>
                <c:formatCode>General</c:formatCode>
                <c:ptCount val="14"/>
              </c:numCache>
            </c:numRef>
          </c:val>
        </c:ser>
        <c:ser>
          <c:idx val="4"/>
          <c:order val="4"/>
          <c:cat>
            <c:strRef>
              <c:f>'Кривични дела против државата'!$A$3:$A$16</c:f>
              <c:strCache>
                <c:ptCount val="14"/>
                <c:pt idx="0">
                  <c:v>Предизвикување омраза и нетрпеливост</c:v>
                </c:pt>
                <c:pt idx="4">
                  <c:v>Учество во странска војска и полиција</c:v>
                </c:pt>
                <c:pt idx="8">
                  <c:v>Неовластено навлегување и цртање на воени објекти</c:v>
                </c:pt>
                <c:pt idx="12">
                  <c:v>Служба во непријателска војска</c:v>
                </c:pt>
                <c:pt idx="13">
                  <c:v>Расна и друга дискриминација</c:v>
                </c:pt>
              </c:strCache>
            </c:strRef>
          </c:cat>
          <c:val>
            <c:numRef>
              <c:f>'Кривични дела против државата'!$F$3:$F$16</c:f>
              <c:numCache>
                <c:formatCode>General</c:formatCode>
                <c:ptCount val="14"/>
              </c:numCache>
            </c:numRef>
          </c:val>
        </c:ser>
        <c:ser>
          <c:idx val="5"/>
          <c:order val="5"/>
          <c:cat>
            <c:strRef>
              <c:f>'Кривични дела против државата'!$A$3:$A$16</c:f>
              <c:strCache>
                <c:ptCount val="14"/>
                <c:pt idx="0">
                  <c:v>Предизвикување омраза и нетрпеливост</c:v>
                </c:pt>
                <c:pt idx="4">
                  <c:v>Учество во странска војска и полиција</c:v>
                </c:pt>
                <c:pt idx="8">
                  <c:v>Неовластено навлегување и цртање на воени објекти</c:v>
                </c:pt>
                <c:pt idx="12">
                  <c:v>Служба во непријателска војска</c:v>
                </c:pt>
                <c:pt idx="13">
                  <c:v>Расна и друга дискриминација</c:v>
                </c:pt>
              </c:strCache>
            </c:strRef>
          </c:cat>
          <c:val>
            <c:numRef>
              <c:f>'Кривични дела против државата'!$G$3:$G$16</c:f>
              <c:numCache>
                <c:formatCode>General</c:formatCode>
                <c:ptCount val="14"/>
              </c:numCache>
            </c:numRef>
          </c:val>
        </c:ser>
        <c:ser>
          <c:idx val="6"/>
          <c:order val="6"/>
          <c:tx>
            <c:v>2024 година</c:v>
          </c:tx>
          <c:dLbls>
            <c:dLbl>
              <c:idx val="12"/>
              <c:layout>
                <c:manualLayout>
                  <c:x val="0"/>
                  <c:y val="1.8983046793957722E-2"/>
                </c:manualLayout>
              </c:layout>
              <c:showVal val="1"/>
            </c:dLbl>
            <c:dLbl>
              <c:idx val="13"/>
              <c:layout>
                <c:manualLayout>
                  <c:x val="-2.7777777777777822E-3"/>
                  <c:y val="-6.3269349006055643E-3"/>
                </c:manualLayout>
              </c:layout>
              <c:showVal val="1"/>
            </c:dLbl>
            <c:showVal val="1"/>
          </c:dLbls>
          <c:cat>
            <c:strRef>
              <c:f>'Кривични дела против државата'!$A$3:$A$16</c:f>
              <c:strCache>
                <c:ptCount val="14"/>
                <c:pt idx="0">
                  <c:v>Предизвикување омраза и нетрпеливост</c:v>
                </c:pt>
                <c:pt idx="4">
                  <c:v>Учество во странска војска и полиција</c:v>
                </c:pt>
                <c:pt idx="8">
                  <c:v>Неовластено навлегување и цртање на воени објекти</c:v>
                </c:pt>
                <c:pt idx="12">
                  <c:v>Служба во непријателска војска</c:v>
                </c:pt>
                <c:pt idx="13">
                  <c:v>Расна и друга дискриминација</c:v>
                </c:pt>
              </c:strCache>
            </c:strRef>
          </c:cat>
          <c:val>
            <c:numRef>
              <c:f>'Кривични дела против државата'!$H$3:$H$16</c:f>
              <c:numCache>
                <c:formatCode>General</c:formatCode>
                <c:ptCount val="14"/>
                <c:pt idx="0">
                  <c:v>10</c:v>
                </c:pt>
                <c:pt idx="4">
                  <c:v>2</c:v>
                </c:pt>
                <c:pt idx="8">
                  <c:v>2</c:v>
                </c:pt>
                <c:pt idx="12">
                  <c:v>0</c:v>
                </c:pt>
                <c:pt idx="13">
                  <c:v>1</c:v>
                </c:pt>
              </c:numCache>
            </c:numRef>
          </c:val>
        </c:ser>
        <c:ser>
          <c:idx val="7"/>
          <c:order val="7"/>
          <c:cat>
            <c:strRef>
              <c:f>'Кривични дела против државата'!$A$3:$A$16</c:f>
              <c:strCache>
                <c:ptCount val="14"/>
                <c:pt idx="0">
                  <c:v>Предизвикување омраза и нетрпеливост</c:v>
                </c:pt>
                <c:pt idx="4">
                  <c:v>Учество во странска војска и полиција</c:v>
                </c:pt>
                <c:pt idx="8">
                  <c:v>Неовластено навлегување и цртање на воени објекти</c:v>
                </c:pt>
                <c:pt idx="12">
                  <c:v>Служба во непријателска војска</c:v>
                </c:pt>
                <c:pt idx="13">
                  <c:v>Расна и друга дискриминација</c:v>
                </c:pt>
              </c:strCache>
            </c:strRef>
          </c:cat>
          <c:val>
            <c:numRef>
              <c:f>'Кривични дела против државата'!$I$3:$I$16</c:f>
              <c:numCache>
                <c:formatCode>General</c:formatCode>
                <c:ptCount val="14"/>
              </c:numCache>
            </c:numRef>
          </c:val>
        </c:ser>
        <c:ser>
          <c:idx val="8"/>
          <c:order val="8"/>
          <c:cat>
            <c:strRef>
              <c:f>'Кривични дела против државата'!$A$3:$A$16</c:f>
              <c:strCache>
                <c:ptCount val="14"/>
                <c:pt idx="0">
                  <c:v>Предизвикување омраза и нетрпеливост</c:v>
                </c:pt>
                <c:pt idx="4">
                  <c:v>Учество во странска војска и полиција</c:v>
                </c:pt>
                <c:pt idx="8">
                  <c:v>Неовластено навлегување и цртање на воени објекти</c:v>
                </c:pt>
                <c:pt idx="12">
                  <c:v>Служба во непријателска војска</c:v>
                </c:pt>
                <c:pt idx="13">
                  <c:v>Расна и друга дискриминација</c:v>
                </c:pt>
              </c:strCache>
            </c:strRef>
          </c:cat>
          <c:val>
            <c:numRef>
              <c:f>'Кривични дела против државата'!$J$3:$J$16</c:f>
              <c:numCache>
                <c:formatCode>General</c:formatCode>
                <c:ptCount val="14"/>
              </c:numCache>
            </c:numRef>
          </c:val>
        </c:ser>
        <c:ser>
          <c:idx val="9"/>
          <c:order val="9"/>
          <c:tx>
            <c:v>2023 година</c:v>
          </c:tx>
          <c:dLbls>
            <c:dLbl>
              <c:idx val="12"/>
              <c:layout>
                <c:manualLayout>
                  <c:x val="2.7777777777777822E-3"/>
                  <c:y val="9.4917725183278658E-3"/>
                </c:manualLayout>
              </c:layout>
              <c:showVal val="1"/>
            </c:dLbl>
            <c:dLbl>
              <c:idx val="13"/>
              <c:layout>
                <c:manualLayout>
                  <c:x val="-2.7777777777777822E-3"/>
                  <c:y val="1.5819454782980427E-2"/>
                </c:manualLayout>
              </c:layout>
              <c:showVal val="1"/>
            </c:dLbl>
            <c:showVal val="1"/>
          </c:dLbls>
          <c:cat>
            <c:strRef>
              <c:f>'Кривични дела против државата'!$A$3:$A$16</c:f>
              <c:strCache>
                <c:ptCount val="14"/>
                <c:pt idx="0">
                  <c:v>Предизвикување омраза и нетрпеливост</c:v>
                </c:pt>
                <c:pt idx="4">
                  <c:v>Учество во странска војска и полиција</c:v>
                </c:pt>
                <c:pt idx="8">
                  <c:v>Неовластено навлегување и цртање на воени објекти</c:v>
                </c:pt>
                <c:pt idx="12">
                  <c:v>Служба во непријателска војска</c:v>
                </c:pt>
                <c:pt idx="13">
                  <c:v>Расна и друга дискриминација</c:v>
                </c:pt>
              </c:strCache>
            </c:strRef>
          </c:cat>
          <c:val>
            <c:numRef>
              <c:f>'Кривични дела против државата'!$K$3:$K$16</c:f>
              <c:numCache>
                <c:formatCode>General</c:formatCode>
                <c:ptCount val="14"/>
                <c:pt idx="0">
                  <c:v>2</c:v>
                </c:pt>
                <c:pt idx="4">
                  <c:v>0</c:v>
                </c:pt>
                <c:pt idx="8">
                  <c:v>0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</c:ser>
        <c:ser>
          <c:idx val="10"/>
          <c:order val="10"/>
          <c:cat>
            <c:strRef>
              <c:f>'Кривични дела против државата'!$A$3:$A$16</c:f>
              <c:strCache>
                <c:ptCount val="14"/>
                <c:pt idx="0">
                  <c:v>Предизвикување омраза и нетрпеливост</c:v>
                </c:pt>
                <c:pt idx="4">
                  <c:v>Учество во странска војска и полиција</c:v>
                </c:pt>
                <c:pt idx="8">
                  <c:v>Неовластено навлегување и цртање на воени објекти</c:v>
                </c:pt>
                <c:pt idx="12">
                  <c:v>Служба во непријателска војска</c:v>
                </c:pt>
                <c:pt idx="13">
                  <c:v>Расна и друга дискриминација</c:v>
                </c:pt>
              </c:strCache>
            </c:strRef>
          </c:cat>
          <c:val>
            <c:numRef>
              <c:f>'Кривични дела против државата'!$L$3:$L$16</c:f>
              <c:numCache>
                <c:formatCode>General</c:formatCode>
                <c:ptCount val="14"/>
              </c:numCache>
            </c:numRef>
          </c:val>
        </c:ser>
        <c:ser>
          <c:idx val="11"/>
          <c:order val="11"/>
          <c:cat>
            <c:strRef>
              <c:f>'Кривични дела против државата'!$A$3:$A$16</c:f>
              <c:strCache>
                <c:ptCount val="14"/>
                <c:pt idx="0">
                  <c:v>Предизвикување омраза и нетрпеливост</c:v>
                </c:pt>
                <c:pt idx="4">
                  <c:v>Учество во странска војска и полиција</c:v>
                </c:pt>
                <c:pt idx="8">
                  <c:v>Неовластено навлегување и цртање на воени објекти</c:v>
                </c:pt>
                <c:pt idx="12">
                  <c:v>Служба во непријателска војска</c:v>
                </c:pt>
                <c:pt idx="13">
                  <c:v>Расна и друга дискриминација</c:v>
                </c:pt>
              </c:strCache>
            </c:strRef>
          </c:cat>
          <c:val>
            <c:numRef>
              <c:f>'Кривични дела против државата'!$M$3:$M$16</c:f>
              <c:numCache>
                <c:formatCode>General</c:formatCode>
                <c:ptCount val="14"/>
              </c:numCache>
            </c:numRef>
          </c:val>
        </c:ser>
        <c:overlap val="25"/>
        <c:axId val="83495168"/>
        <c:axId val="83517440"/>
      </c:barChart>
      <c:catAx>
        <c:axId val="83495168"/>
        <c:scaling>
          <c:orientation val="maxMin"/>
        </c:scaling>
        <c:axPos val="l"/>
        <c:tickLblPos val="nextTo"/>
        <c:crossAx val="83517440"/>
        <c:crosses val="autoZero"/>
        <c:auto val="1"/>
        <c:lblAlgn val="ctr"/>
        <c:lblOffset val="100"/>
      </c:catAx>
      <c:valAx>
        <c:axId val="83517440"/>
        <c:scaling>
          <c:orientation val="minMax"/>
        </c:scaling>
        <c:axPos val="b"/>
        <c:majorGridlines/>
        <c:numFmt formatCode="General" sourceLinked="1"/>
        <c:tickLblPos val="nextTo"/>
        <c:crossAx val="83495168"/>
        <c:crosses val="max"/>
        <c:crossBetween val="between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10"/>
        <c:delete val="1"/>
      </c:legendEntry>
      <c:legendEntry>
        <c:idx val="11"/>
        <c:delete val="1"/>
      </c:legendEntry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2400"/>
            </a:pPr>
            <a:r>
              <a:rPr lang="mk-MK" sz="2400"/>
              <a:t>Кривични</a:t>
            </a:r>
            <a:r>
              <a:rPr lang="mk-MK" sz="2400" baseline="0"/>
              <a:t> дела против државата</a:t>
            </a:r>
            <a:endParaRPr lang="en-US" sz="2400"/>
          </a:p>
        </c:rich>
      </c:tx>
      <c:layout>
        <c:manualLayout>
          <c:xMode val="edge"/>
          <c:yMode val="edge"/>
          <c:x val="0.41101843958319617"/>
          <c:y val="8.338028169014082E-2"/>
        </c:manualLayout>
      </c:layout>
      <c:overlay val="1"/>
    </c:title>
    <c:plotArea>
      <c:layout>
        <c:manualLayout>
          <c:layoutTarget val="inner"/>
          <c:xMode val="edge"/>
          <c:yMode val="edge"/>
          <c:x val="7.7315890565277587E-2"/>
          <c:y val="0.19691853166241546"/>
          <c:w val="0.87616898188668058"/>
          <c:h val="0.4886333201155611"/>
        </c:manualLayout>
      </c:layout>
      <c:barChart>
        <c:barDir val="col"/>
        <c:grouping val="clustered"/>
        <c:ser>
          <c:idx val="0"/>
          <c:order val="0"/>
          <c:cat>
            <c:strRef>
              <c:f>'Кривични дела против државата'!$A$3:$A$16</c:f>
              <c:strCache>
                <c:ptCount val="14"/>
                <c:pt idx="0">
                  <c:v>Предизвикување омраза и нетрпеливост</c:v>
                </c:pt>
                <c:pt idx="4">
                  <c:v>Учество во странска војска и полиција</c:v>
                </c:pt>
                <c:pt idx="8">
                  <c:v>Неовластено навлегување и цртање на воени објекти</c:v>
                </c:pt>
                <c:pt idx="12">
                  <c:v>Служба во непријателска војска</c:v>
                </c:pt>
                <c:pt idx="13">
                  <c:v>Расна и друга дискриминација</c:v>
                </c:pt>
              </c:strCache>
            </c:strRef>
          </c:cat>
          <c:val>
            <c:numRef>
              <c:f>'Кривични дела против државата'!$B$3:$B$16</c:f>
              <c:numCache>
                <c:formatCode>General</c:formatCode>
                <c:ptCount val="14"/>
              </c:numCache>
            </c:numRef>
          </c:val>
        </c:ser>
        <c:ser>
          <c:idx val="1"/>
          <c:order val="1"/>
          <c:cat>
            <c:strRef>
              <c:f>'Кривични дела против државата'!$A$3:$A$16</c:f>
              <c:strCache>
                <c:ptCount val="14"/>
                <c:pt idx="0">
                  <c:v>Предизвикување омраза и нетрпеливост</c:v>
                </c:pt>
                <c:pt idx="4">
                  <c:v>Учество во странска војска и полиција</c:v>
                </c:pt>
                <c:pt idx="8">
                  <c:v>Неовластено навлегување и цртање на воени објекти</c:v>
                </c:pt>
                <c:pt idx="12">
                  <c:v>Служба во непријателска војска</c:v>
                </c:pt>
                <c:pt idx="13">
                  <c:v>Расна и друга дискриминација</c:v>
                </c:pt>
              </c:strCache>
            </c:strRef>
          </c:cat>
          <c:val>
            <c:numRef>
              <c:f>'Кривични дела против државата'!$C$3:$C$16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cat>
            <c:strRef>
              <c:f>'Кривични дела против државата'!$A$3:$A$16</c:f>
              <c:strCache>
                <c:ptCount val="14"/>
                <c:pt idx="0">
                  <c:v>Предизвикување омраза и нетрпеливост</c:v>
                </c:pt>
                <c:pt idx="4">
                  <c:v>Учество во странска војска и полиција</c:v>
                </c:pt>
                <c:pt idx="8">
                  <c:v>Неовластено навлегување и цртање на воени објекти</c:v>
                </c:pt>
                <c:pt idx="12">
                  <c:v>Служба во непријателска војска</c:v>
                </c:pt>
                <c:pt idx="13">
                  <c:v>Расна и друга дискриминација</c:v>
                </c:pt>
              </c:strCache>
            </c:strRef>
          </c:cat>
          <c:val>
            <c:numRef>
              <c:f>'Кривични дела против државата'!$D$3:$D$16</c:f>
              <c:numCache>
                <c:formatCode>General</c:formatCode>
                <c:ptCount val="14"/>
              </c:numCache>
            </c:numRef>
          </c:val>
        </c:ser>
        <c:ser>
          <c:idx val="3"/>
          <c:order val="3"/>
          <c:cat>
            <c:strRef>
              <c:f>'Кривични дела против државата'!$A$3:$A$16</c:f>
              <c:strCache>
                <c:ptCount val="14"/>
                <c:pt idx="0">
                  <c:v>Предизвикување омраза и нетрпеливост</c:v>
                </c:pt>
                <c:pt idx="4">
                  <c:v>Учество во странска војска и полиција</c:v>
                </c:pt>
                <c:pt idx="8">
                  <c:v>Неовластено навлегување и цртање на воени објекти</c:v>
                </c:pt>
                <c:pt idx="12">
                  <c:v>Служба во непријателска војска</c:v>
                </c:pt>
                <c:pt idx="13">
                  <c:v>Расна и друга дискриминација</c:v>
                </c:pt>
              </c:strCache>
            </c:strRef>
          </c:cat>
          <c:val>
            <c:numRef>
              <c:f>'Кривични дела против државата'!$E$3:$E$16</c:f>
              <c:numCache>
                <c:formatCode>General</c:formatCode>
                <c:ptCount val="14"/>
              </c:numCache>
            </c:numRef>
          </c:val>
        </c:ser>
        <c:ser>
          <c:idx val="4"/>
          <c:order val="4"/>
          <c:cat>
            <c:strRef>
              <c:f>'Кривични дела против државата'!$A$3:$A$16</c:f>
              <c:strCache>
                <c:ptCount val="14"/>
                <c:pt idx="0">
                  <c:v>Предизвикување омраза и нетрпеливост</c:v>
                </c:pt>
                <c:pt idx="4">
                  <c:v>Учество во странска војска и полиција</c:v>
                </c:pt>
                <c:pt idx="8">
                  <c:v>Неовластено навлегување и цртање на воени објекти</c:v>
                </c:pt>
                <c:pt idx="12">
                  <c:v>Служба во непријателска војска</c:v>
                </c:pt>
                <c:pt idx="13">
                  <c:v>Расна и друга дискриминација</c:v>
                </c:pt>
              </c:strCache>
            </c:strRef>
          </c:cat>
          <c:val>
            <c:numRef>
              <c:f>'Кривични дела против државата'!$F$3:$F$16</c:f>
              <c:numCache>
                <c:formatCode>General</c:formatCode>
                <c:ptCount val="14"/>
              </c:numCache>
            </c:numRef>
          </c:val>
        </c:ser>
        <c:ser>
          <c:idx val="5"/>
          <c:order val="5"/>
          <c:cat>
            <c:strRef>
              <c:f>'Кривични дела против државата'!$A$3:$A$16</c:f>
              <c:strCache>
                <c:ptCount val="14"/>
                <c:pt idx="0">
                  <c:v>Предизвикување омраза и нетрпеливост</c:v>
                </c:pt>
                <c:pt idx="4">
                  <c:v>Учество во странска војска и полиција</c:v>
                </c:pt>
                <c:pt idx="8">
                  <c:v>Неовластено навлегување и цртање на воени објекти</c:v>
                </c:pt>
                <c:pt idx="12">
                  <c:v>Служба во непријателска војска</c:v>
                </c:pt>
                <c:pt idx="13">
                  <c:v>Расна и друга дискриминација</c:v>
                </c:pt>
              </c:strCache>
            </c:strRef>
          </c:cat>
          <c:val>
            <c:numRef>
              <c:f>'Кривични дела против државата'!$G$3:$G$16</c:f>
              <c:numCache>
                <c:formatCode>General</c:formatCode>
                <c:ptCount val="14"/>
              </c:numCache>
            </c:numRef>
          </c:val>
        </c:ser>
        <c:ser>
          <c:idx val="6"/>
          <c:order val="6"/>
          <c:tx>
            <c:v>2024 година</c:v>
          </c:tx>
          <c:dLbls>
            <c:showVal val="1"/>
          </c:dLbls>
          <c:cat>
            <c:strRef>
              <c:f>'Кривични дела против државата'!$A$3:$A$16</c:f>
              <c:strCache>
                <c:ptCount val="14"/>
                <c:pt idx="0">
                  <c:v>Предизвикување омраза и нетрпеливост</c:v>
                </c:pt>
                <c:pt idx="4">
                  <c:v>Учество во странска војска и полиција</c:v>
                </c:pt>
                <c:pt idx="8">
                  <c:v>Неовластено навлегување и цртање на воени објекти</c:v>
                </c:pt>
                <c:pt idx="12">
                  <c:v>Служба во непријателска војска</c:v>
                </c:pt>
                <c:pt idx="13">
                  <c:v>Расна и друга дискриминација</c:v>
                </c:pt>
              </c:strCache>
            </c:strRef>
          </c:cat>
          <c:val>
            <c:numRef>
              <c:f>'Кривични дела против државата'!$H$3:$H$16</c:f>
              <c:numCache>
                <c:formatCode>General</c:formatCode>
                <c:ptCount val="14"/>
                <c:pt idx="0">
                  <c:v>10</c:v>
                </c:pt>
                <c:pt idx="4">
                  <c:v>2</c:v>
                </c:pt>
                <c:pt idx="8">
                  <c:v>2</c:v>
                </c:pt>
                <c:pt idx="12">
                  <c:v>0</c:v>
                </c:pt>
                <c:pt idx="13">
                  <c:v>1</c:v>
                </c:pt>
              </c:numCache>
            </c:numRef>
          </c:val>
        </c:ser>
        <c:ser>
          <c:idx val="7"/>
          <c:order val="7"/>
          <c:cat>
            <c:strRef>
              <c:f>'Кривични дела против државата'!$A$3:$A$16</c:f>
              <c:strCache>
                <c:ptCount val="14"/>
                <c:pt idx="0">
                  <c:v>Предизвикување омраза и нетрпеливост</c:v>
                </c:pt>
                <c:pt idx="4">
                  <c:v>Учество во странска војска и полиција</c:v>
                </c:pt>
                <c:pt idx="8">
                  <c:v>Неовластено навлегување и цртање на воени објекти</c:v>
                </c:pt>
                <c:pt idx="12">
                  <c:v>Служба во непријателска војска</c:v>
                </c:pt>
                <c:pt idx="13">
                  <c:v>Расна и друга дискриминација</c:v>
                </c:pt>
              </c:strCache>
            </c:strRef>
          </c:cat>
          <c:val>
            <c:numRef>
              <c:f>'Кривични дела против државата'!$I$3:$I$16</c:f>
              <c:numCache>
                <c:formatCode>General</c:formatCode>
                <c:ptCount val="14"/>
              </c:numCache>
            </c:numRef>
          </c:val>
        </c:ser>
        <c:ser>
          <c:idx val="8"/>
          <c:order val="8"/>
          <c:cat>
            <c:strRef>
              <c:f>'Кривични дела против државата'!$A$3:$A$16</c:f>
              <c:strCache>
                <c:ptCount val="14"/>
                <c:pt idx="0">
                  <c:v>Предизвикување омраза и нетрпеливост</c:v>
                </c:pt>
                <c:pt idx="4">
                  <c:v>Учество во странска војска и полиција</c:v>
                </c:pt>
                <c:pt idx="8">
                  <c:v>Неовластено навлегување и цртање на воени објекти</c:v>
                </c:pt>
                <c:pt idx="12">
                  <c:v>Служба во непријателска војска</c:v>
                </c:pt>
                <c:pt idx="13">
                  <c:v>Расна и друга дискриминација</c:v>
                </c:pt>
              </c:strCache>
            </c:strRef>
          </c:cat>
          <c:val>
            <c:numRef>
              <c:f>'Кривични дела против државата'!$J$3:$J$16</c:f>
              <c:numCache>
                <c:formatCode>General</c:formatCode>
                <c:ptCount val="14"/>
              </c:numCache>
            </c:numRef>
          </c:val>
        </c:ser>
        <c:ser>
          <c:idx val="9"/>
          <c:order val="9"/>
          <c:tx>
            <c:v>2023 година</c:v>
          </c:tx>
          <c:dLbls>
            <c:showVal val="1"/>
          </c:dLbls>
          <c:cat>
            <c:strRef>
              <c:f>'Кривични дела против државата'!$A$3:$A$16</c:f>
              <c:strCache>
                <c:ptCount val="14"/>
                <c:pt idx="0">
                  <c:v>Предизвикување омраза и нетрпеливост</c:v>
                </c:pt>
                <c:pt idx="4">
                  <c:v>Учество во странска војска и полиција</c:v>
                </c:pt>
                <c:pt idx="8">
                  <c:v>Неовластено навлегување и цртање на воени објекти</c:v>
                </c:pt>
                <c:pt idx="12">
                  <c:v>Служба во непријателска војска</c:v>
                </c:pt>
                <c:pt idx="13">
                  <c:v>Расна и друга дискриминација</c:v>
                </c:pt>
              </c:strCache>
            </c:strRef>
          </c:cat>
          <c:val>
            <c:numRef>
              <c:f>'Кривични дела против државата'!$K$3:$K$16</c:f>
              <c:numCache>
                <c:formatCode>General</c:formatCode>
                <c:ptCount val="14"/>
                <c:pt idx="0">
                  <c:v>2</c:v>
                </c:pt>
                <c:pt idx="4">
                  <c:v>0</c:v>
                </c:pt>
                <c:pt idx="8">
                  <c:v>0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</c:ser>
        <c:ser>
          <c:idx val="10"/>
          <c:order val="10"/>
          <c:cat>
            <c:strRef>
              <c:f>'Кривични дела против државата'!$A$3:$A$16</c:f>
              <c:strCache>
                <c:ptCount val="14"/>
                <c:pt idx="0">
                  <c:v>Предизвикување омраза и нетрпеливост</c:v>
                </c:pt>
                <c:pt idx="4">
                  <c:v>Учество во странска војска и полиција</c:v>
                </c:pt>
                <c:pt idx="8">
                  <c:v>Неовластено навлегување и цртање на воени објекти</c:v>
                </c:pt>
                <c:pt idx="12">
                  <c:v>Служба во непријателска војска</c:v>
                </c:pt>
                <c:pt idx="13">
                  <c:v>Расна и друга дискриминација</c:v>
                </c:pt>
              </c:strCache>
            </c:strRef>
          </c:cat>
          <c:val>
            <c:numRef>
              <c:f>'Кривични дела против државата'!$L$3:$L$16</c:f>
              <c:numCache>
                <c:formatCode>General</c:formatCode>
                <c:ptCount val="14"/>
              </c:numCache>
            </c:numRef>
          </c:val>
        </c:ser>
        <c:ser>
          <c:idx val="11"/>
          <c:order val="11"/>
          <c:cat>
            <c:strRef>
              <c:f>'Кривични дела против државата'!$A$3:$A$16</c:f>
              <c:strCache>
                <c:ptCount val="14"/>
                <c:pt idx="0">
                  <c:v>Предизвикување омраза и нетрпеливост</c:v>
                </c:pt>
                <c:pt idx="4">
                  <c:v>Учество во странска војска и полиција</c:v>
                </c:pt>
                <c:pt idx="8">
                  <c:v>Неовластено навлегување и цртање на воени објекти</c:v>
                </c:pt>
                <c:pt idx="12">
                  <c:v>Служба во непријателска војска</c:v>
                </c:pt>
                <c:pt idx="13">
                  <c:v>Расна и друга дискриминација</c:v>
                </c:pt>
              </c:strCache>
            </c:strRef>
          </c:cat>
          <c:val>
            <c:numRef>
              <c:f>'Кривични дела против државата'!$M$3:$M$16</c:f>
              <c:numCache>
                <c:formatCode>General</c:formatCode>
                <c:ptCount val="14"/>
              </c:numCache>
            </c:numRef>
          </c:val>
        </c:ser>
        <c:axId val="85784832"/>
        <c:axId val="85671936"/>
      </c:barChart>
      <c:catAx>
        <c:axId val="85784832"/>
        <c:scaling>
          <c:orientation val="minMax"/>
        </c:scaling>
        <c:axPos val="b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85671936"/>
        <c:crosses val="autoZero"/>
        <c:auto val="1"/>
        <c:lblAlgn val="ctr"/>
        <c:lblOffset val="100"/>
      </c:catAx>
      <c:valAx>
        <c:axId val="85671936"/>
        <c:scaling>
          <c:orientation val="minMax"/>
        </c:scaling>
        <c:axPos val="l"/>
        <c:majorGridlines/>
        <c:numFmt formatCode="General" sourceLinked="1"/>
        <c:tickLblPos val="nextTo"/>
        <c:crossAx val="85784832"/>
        <c:crosses val="autoZero"/>
        <c:crossBetween val="between"/>
      </c:valAx>
    </c:plotArea>
    <c:legend>
      <c:legendPos val="b"/>
      <c:legendEntry>
        <c:idx val="0"/>
        <c:delete val="1"/>
      </c:legendEntry>
      <c:legendEntry>
        <c:idx val="8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4347822314814323"/>
          <c:y val="0.88037653321503828"/>
          <c:w val="0.1736032503730307"/>
          <c:h val="4.737772894667238E-2"/>
        </c:manualLayout>
      </c:layout>
      <c:txPr>
        <a:bodyPr/>
        <a:lstStyle/>
        <a:p>
          <a:pPr>
            <a:defRPr sz="1400"/>
          </a:pPr>
          <a:endParaRPr lang="en-US"/>
        </a:p>
      </c:txPr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mk-MK"/>
              <a:t>Кривични дела Убиства</a:t>
            </a:r>
            <a:endParaRPr lang="en-US"/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7.9505396681571444E-2"/>
          <c:y val="0.15787199676963456"/>
          <c:w val="0.87141186718237362"/>
          <c:h val="0.58028928626912302"/>
        </c:manualLayout>
      </c:layout>
      <c:barChart>
        <c:barDir val="col"/>
        <c:grouping val="clustered"/>
        <c:ser>
          <c:idx val="0"/>
          <c:order val="0"/>
          <c:cat>
            <c:strRef>
              <c:f>Убиства!$A$5:$A$12</c:f>
              <c:strCache>
                <c:ptCount val="8"/>
                <c:pt idx="0">
                  <c:v>СВР Скопје</c:v>
                </c:pt>
                <c:pt idx="1">
                  <c:v>СВР Битола</c:v>
                </c:pt>
                <c:pt idx="2">
                  <c:v>СВР Велес</c:v>
                </c:pt>
                <c:pt idx="3">
                  <c:v>СВР Куманово</c:v>
                </c:pt>
                <c:pt idx="4">
                  <c:v>СВР Охрид</c:v>
                </c:pt>
                <c:pt idx="5">
                  <c:v>СВР Струмица</c:v>
                </c:pt>
                <c:pt idx="6">
                  <c:v>СВР Тетово</c:v>
                </c:pt>
                <c:pt idx="7">
                  <c:v>СВР Штип</c:v>
                </c:pt>
              </c:strCache>
            </c:strRef>
          </c:cat>
          <c:val>
            <c:numRef>
              <c:f>Убиства!$B$5:$B$12</c:f>
              <c:numCache>
                <c:formatCode>General</c:formatCode>
                <c:ptCount val="8"/>
              </c:numCache>
            </c:numRef>
          </c:val>
        </c:ser>
        <c:ser>
          <c:idx val="1"/>
          <c:order val="1"/>
          <c:cat>
            <c:strRef>
              <c:f>Убиства!$A$5:$A$12</c:f>
              <c:strCache>
                <c:ptCount val="8"/>
                <c:pt idx="0">
                  <c:v>СВР Скопје</c:v>
                </c:pt>
                <c:pt idx="1">
                  <c:v>СВР Битола</c:v>
                </c:pt>
                <c:pt idx="2">
                  <c:v>СВР Велес</c:v>
                </c:pt>
                <c:pt idx="3">
                  <c:v>СВР Куманово</c:v>
                </c:pt>
                <c:pt idx="4">
                  <c:v>СВР Охрид</c:v>
                </c:pt>
                <c:pt idx="5">
                  <c:v>СВР Струмица</c:v>
                </c:pt>
                <c:pt idx="6">
                  <c:v>СВР Тетово</c:v>
                </c:pt>
                <c:pt idx="7">
                  <c:v>СВР Штип</c:v>
                </c:pt>
              </c:strCache>
            </c:strRef>
          </c:cat>
          <c:val>
            <c:numRef>
              <c:f>Убиства!$C$5:$C$12</c:f>
              <c:numCache>
                <c:formatCode>General</c:formatCode>
                <c:ptCount val="8"/>
              </c:numCache>
            </c:numRef>
          </c:val>
        </c:ser>
        <c:ser>
          <c:idx val="2"/>
          <c:order val="2"/>
          <c:tx>
            <c:v>2023 година</c:v>
          </c:tx>
          <c:dLbls>
            <c:dLbl>
              <c:idx val="1"/>
              <c:layout>
                <c:manualLayout>
                  <c:x val="0"/>
                  <c:y val="2.1367521367521368E-2"/>
                </c:manualLayout>
              </c:layout>
              <c:showVal val="1"/>
            </c:dLbl>
            <c:showVal val="1"/>
          </c:dLbls>
          <c:cat>
            <c:strRef>
              <c:f>Убиства!$A$5:$A$12</c:f>
              <c:strCache>
                <c:ptCount val="8"/>
                <c:pt idx="0">
                  <c:v>СВР Скопје</c:v>
                </c:pt>
                <c:pt idx="1">
                  <c:v>СВР Битола</c:v>
                </c:pt>
                <c:pt idx="2">
                  <c:v>СВР Велес</c:v>
                </c:pt>
                <c:pt idx="3">
                  <c:v>СВР Куманово</c:v>
                </c:pt>
                <c:pt idx="4">
                  <c:v>СВР Охрид</c:v>
                </c:pt>
                <c:pt idx="5">
                  <c:v>СВР Струмица</c:v>
                </c:pt>
                <c:pt idx="6">
                  <c:v>СВР Тетово</c:v>
                </c:pt>
                <c:pt idx="7">
                  <c:v>СВР Штип</c:v>
                </c:pt>
              </c:strCache>
            </c:strRef>
          </c:cat>
          <c:val>
            <c:numRef>
              <c:f>Убиства!$D$5:$D$12</c:f>
              <c:numCache>
                <c:formatCode>General</c:formatCode>
                <c:ptCount val="8"/>
                <c:pt idx="0">
                  <c:v>7</c:v>
                </c:pt>
                <c:pt idx="1">
                  <c:v>3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4</c:v>
                </c:pt>
                <c:pt idx="7">
                  <c:v>3</c:v>
                </c:pt>
              </c:numCache>
            </c:numRef>
          </c:val>
        </c:ser>
        <c:ser>
          <c:idx val="3"/>
          <c:order val="3"/>
          <c:cat>
            <c:strRef>
              <c:f>Убиства!$A$5:$A$12</c:f>
              <c:strCache>
                <c:ptCount val="8"/>
                <c:pt idx="0">
                  <c:v>СВР Скопје</c:v>
                </c:pt>
                <c:pt idx="1">
                  <c:v>СВР Битола</c:v>
                </c:pt>
                <c:pt idx="2">
                  <c:v>СВР Велес</c:v>
                </c:pt>
                <c:pt idx="3">
                  <c:v>СВР Куманово</c:v>
                </c:pt>
                <c:pt idx="4">
                  <c:v>СВР Охрид</c:v>
                </c:pt>
                <c:pt idx="5">
                  <c:v>СВР Струмица</c:v>
                </c:pt>
                <c:pt idx="6">
                  <c:v>СВР Тетово</c:v>
                </c:pt>
                <c:pt idx="7">
                  <c:v>СВР Штип</c:v>
                </c:pt>
              </c:strCache>
            </c:strRef>
          </c:cat>
          <c:val>
            <c:numRef>
              <c:f>Убиства!$E$5:$E$12</c:f>
              <c:numCache>
                <c:formatCode>General</c:formatCode>
                <c:ptCount val="8"/>
              </c:numCache>
            </c:numRef>
          </c:val>
        </c:ser>
        <c:ser>
          <c:idx val="4"/>
          <c:order val="4"/>
          <c:tx>
            <c:v>2024 година</c:v>
          </c:tx>
          <c:dLbls>
            <c:showVal val="1"/>
          </c:dLbls>
          <c:cat>
            <c:strRef>
              <c:f>Убиства!$A$5:$A$12</c:f>
              <c:strCache>
                <c:ptCount val="8"/>
                <c:pt idx="0">
                  <c:v>СВР Скопје</c:v>
                </c:pt>
                <c:pt idx="1">
                  <c:v>СВР Битола</c:v>
                </c:pt>
                <c:pt idx="2">
                  <c:v>СВР Велес</c:v>
                </c:pt>
                <c:pt idx="3">
                  <c:v>СВР Куманово</c:v>
                </c:pt>
                <c:pt idx="4">
                  <c:v>СВР Охрид</c:v>
                </c:pt>
                <c:pt idx="5">
                  <c:v>СВР Струмица</c:v>
                </c:pt>
                <c:pt idx="6">
                  <c:v>СВР Тетово</c:v>
                </c:pt>
                <c:pt idx="7">
                  <c:v>СВР Штип</c:v>
                </c:pt>
              </c:strCache>
            </c:strRef>
          </c:cat>
          <c:val>
            <c:numRef>
              <c:f>Убиства!$F$5:$F$12</c:f>
              <c:numCache>
                <c:formatCode>General</c:formatCode>
                <c:ptCount val="8"/>
                <c:pt idx="0">
                  <c:v>9</c:v>
                </c:pt>
                <c:pt idx="1">
                  <c:v>0</c:v>
                </c:pt>
                <c:pt idx="2">
                  <c:v>4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</c:numCache>
            </c:numRef>
          </c:val>
        </c:ser>
        <c:ser>
          <c:idx val="5"/>
          <c:order val="5"/>
          <c:cat>
            <c:strRef>
              <c:f>Убиства!$A$5:$A$12</c:f>
              <c:strCache>
                <c:ptCount val="8"/>
                <c:pt idx="0">
                  <c:v>СВР Скопје</c:v>
                </c:pt>
                <c:pt idx="1">
                  <c:v>СВР Битола</c:v>
                </c:pt>
                <c:pt idx="2">
                  <c:v>СВР Велес</c:v>
                </c:pt>
                <c:pt idx="3">
                  <c:v>СВР Куманово</c:v>
                </c:pt>
                <c:pt idx="4">
                  <c:v>СВР Охрид</c:v>
                </c:pt>
                <c:pt idx="5">
                  <c:v>СВР Струмица</c:v>
                </c:pt>
                <c:pt idx="6">
                  <c:v>СВР Тетово</c:v>
                </c:pt>
                <c:pt idx="7">
                  <c:v>СВР Штип</c:v>
                </c:pt>
              </c:strCache>
            </c:strRef>
          </c:cat>
          <c:val>
            <c:numRef>
              <c:f>Убиства!$G$5:$G$12</c:f>
              <c:numCache>
                <c:formatCode>General</c:formatCode>
                <c:ptCount val="8"/>
              </c:numCache>
            </c:numRef>
          </c:val>
        </c:ser>
        <c:axId val="85826944"/>
        <c:axId val="85845120"/>
      </c:barChart>
      <c:catAx>
        <c:axId val="85826944"/>
        <c:scaling>
          <c:orientation val="minMax"/>
        </c:scaling>
        <c:axPos val="b"/>
        <c:tickLblPos val="nextTo"/>
        <c:crossAx val="85845120"/>
        <c:crosses val="autoZero"/>
        <c:auto val="1"/>
        <c:lblAlgn val="ctr"/>
        <c:lblOffset val="100"/>
      </c:catAx>
      <c:valAx>
        <c:axId val="85845120"/>
        <c:scaling>
          <c:orientation val="minMax"/>
        </c:scaling>
        <c:axPos val="l"/>
        <c:majorGridlines/>
        <c:numFmt formatCode="General" sourceLinked="1"/>
        <c:tickLblPos val="nextTo"/>
        <c:crossAx val="85826944"/>
        <c:crosses val="autoZero"/>
        <c:crossBetween val="between"/>
      </c:valAx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3"/>
        <c:delete val="1"/>
      </c:legendEntry>
      <c:legendEntry>
        <c:idx val="5"/>
        <c:delete val="1"/>
      </c:legendEntry>
      <c:layout/>
    </c:legend>
    <c:plotVisOnly val="1"/>
  </c:chart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mk-MK"/>
              <a:t>Убиства</a:t>
            </a:r>
            <a:endParaRPr lang="en-US"/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0.14426181762004447"/>
          <c:y val="0.16213072136838549"/>
          <c:w val="0.81442434325172153"/>
          <c:h val="0.64244987063091796"/>
        </c:manualLayout>
      </c:layout>
      <c:barChart>
        <c:barDir val="bar"/>
        <c:grouping val="clustered"/>
        <c:ser>
          <c:idx val="0"/>
          <c:order val="0"/>
          <c:tx>
            <c:v>2024 година</c:v>
          </c:tx>
          <c:dLbls>
            <c:showVal val="1"/>
          </c:dLbls>
          <c:cat>
            <c:strRef>
              <c:f>Убиства!$A$5:$C$12</c:f>
              <c:strCache>
                <c:ptCount val="8"/>
                <c:pt idx="0">
                  <c:v>СВР Скопје</c:v>
                </c:pt>
                <c:pt idx="1">
                  <c:v>СВР Битола</c:v>
                </c:pt>
                <c:pt idx="2">
                  <c:v>СВР Велес</c:v>
                </c:pt>
                <c:pt idx="3">
                  <c:v>СВР Куманово</c:v>
                </c:pt>
                <c:pt idx="4">
                  <c:v>СВР Охрид</c:v>
                </c:pt>
                <c:pt idx="5">
                  <c:v>СВР Струмица</c:v>
                </c:pt>
                <c:pt idx="6">
                  <c:v>СВР Тетово</c:v>
                </c:pt>
                <c:pt idx="7">
                  <c:v>СВР Штип</c:v>
                </c:pt>
              </c:strCache>
            </c:strRef>
          </c:cat>
          <c:val>
            <c:numRef>
              <c:f>Убиства!$D$5:$D$12</c:f>
              <c:numCache>
                <c:formatCode>General</c:formatCode>
                <c:ptCount val="8"/>
                <c:pt idx="0">
                  <c:v>7</c:v>
                </c:pt>
                <c:pt idx="1">
                  <c:v>3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4</c:v>
                </c:pt>
                <c:pt idx="7">
                  <c:v>3</c:v>
                </c:pt>
              </c:numCache>
            </c:numRef>
          </c:val>
        </c:ser>
        <c:ser>
          <c:idx val="1"/>
          <c:order val="1"/>
          <c:cat>
            <c:strRef>
              <c:f>Убиства!$A$5:$C$12</c:f>
              <c:strCache>
                <c:ptCount val="8"/>
                <c:pt idx="0">
                  <c:v>СВР Скопје</c:v>
                </c:pt>
                <c:pt idx="1">
                  <c:v>СВР Битола</c:v>
                </c:pt>
                <c:pt idx="2">
                  <c:v>СВР Велес</c:v>
                </c:pt>
                <c:pt idx="3">
                  <c:v>СВР Куманово</c:v>
                </c:pt>
                <c:pt idx="4">
                  <c:v>СВР Охрид</c:v>
                </c:pt>
                <c:pt idx="5">
                  <c:v>СВР Струмица</c:v>
                </c:pt>
                <c:pt idx="6">
                  <c:v>СВР Тетово</c:v>
                </c:pt>
                <c:pt idx="7">
                  <c:v>СВР Штип</c:v>
                </c:pt>
              </c:strCache>
            </c:strRef>
          </c:cat>
          <c:val>
            <c:numRef>
              <c:f>Убиства!$E$5:$E$12</c:f>
              <c:numCache>
                <c:formatCode>General</c:formatCode>
                <c:ptCount val="8"/>
              </c:numCache>
            </c:numRef>
          </c:val>
        </c:ser>
        <c:ser>
          <c:idx val="2"/>
          <c:order val="2"/>
          <c:tx>
            <c:v>2023 година</c:v>
          </c:tx>
          <c:dLbls>
            <c:showVal val="1"/>
          </c:dLbls>
          <c:cat>
            <c:strRef>
              <c:f>Убиства!$A$5:$C$12</c:f>
              <c:strCache>
                <c:ptCount val="8"/>
                <c:pt idx="0">
                  <c:v>СВР Скопје</c:v>
                </c:pt>
                <c:pt idx="1">
                  <c:v>СВР Битола</c:v>
                </c:pt>
                <c:pt idx="2">
                  <c:v>СВР Велес</c:v>
                </c:pt>
                <c:pt idx="3">
                  <c:v>СВР Куманово</c:v>
                </c:pt>
                <c:pt idx="4">
                  <c:v>СВР Охрид</c:v>
                </c:pt>
                <c:pt idx="5">
                  <c:v>СВР Струмица</c:v>
                </c:pt>
                <c:pt idx="6">
                  <c:v>СВР Тетово</c:v>
                </c:pt>
                <c:pt idx="7">
                  <c:v>СВР Штип</c:v>
                </c:pt>
              </c:strCache>
            </c:strRef>
          </c:cat>
          <c:val>
            <c:numRef>
              <c:f>Убиства!$F$5:$F$12</c:f>
              <c:numCache>
                <c:formatCode>General</c:formatCode>
                <c:ptCount val="8"/>
                <c:pt idx="0">
                  <c:v>9</c:v>
                </c:pt>
                <c:pt idx="1">
                  <c:v>0</c:v>
                </c:pt>
                <c:pt idx="2">
                  <c:v>4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</c:numCache>
            </c:numRef>
          </c:val>
        </c:ser>
        <c:ser>
          <c:idx val="3"/>
          <c:order val="3"/>
          <c:cat>
            <c:strRef>
              <c:f>Убиства!$A$5:$C$12</c:f>
              <c:strCache>
                <c:ptCount val="8"/>
                <c:pt idx="0">
                  <c:v>СВР Скопје</c:v>
                </c:pt>
                <c:pt idx="1">
                  <c:v>СВР Битола</c:v>
                </c:pt>
                <c:pt idx="2">
                  <c:v>СВР Велес</c:v>
                </c:pt>
                <c:pt idx="3">
                  <c:v>СВР Куманово</c:v>
                </c:pt>
                <c:pt idx="4">
                  <c:v>СВР Охрид</c:v>
                </c:pt>
                <c:pt idx="5">
                  <c:v>СВР Струмица</c:v>
                </c:pt>
                <c:pt idx="6">
                  <c:v>СВР Тетово</c:v>
                </c:pt>
                <c:pt idx="7">
                  <c:v>СВР Штип</c:v>
                </c:pt>
              </c:strCache>
            </c:strRef>
          </c:cat>
          <c:val>
            <c:numRef>
              <c:f>Убиства!$G$5:$G$12</c:f>
              <c:numCache>
                <c:formatCode>General</c:formatCode>
                <c:ptCount val="8"/>
              </c:numCache>
            </c:numRef>
          </c:val>
        </c:ser>
        <c:axId val="85886464"/>
        <c:axId val="85888000"/>
      </c:barChart>
      <c:catAx>
        <c:axId val="85886464"/>
        <c:scaling>
          <c:orientation val="maxMin"/>
        </c:scaling>
        <c:axPos val="l"/>
        <c:tickLblPos val="nextTo"/>
        <c:crossAx val="85888000"/>
        <c:crosses val="autoZero"/>
        <c:auto val="1"/>
        <c:lblAlgn val="ctr"/>
        <c:lblOffset val="100"/>
      </c:catAx>
      <c:valAx>
        <c:axId val="85888000"/>
        <c:scaling>
          <c:orientation val="minMax"/>
        </c:scaling>
        <c:axPos val="b"/>
        <c:majorGridlines/>
        <c:numFmt formatCode="General" sourceLinked="1"/>
        <c:tickLblPos val="nextTo"/>
        <c:crossAx val="85886464"/>
        <c:crosses val="max"/>
        <c:crossBetween val="between"/>
      </c:valAx>
    </c:plotArea>
    <c:legend>
      <c:legendPos val="b"/>
      <c:legendEntry>
        <c:idx val="1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39897053212798245"/>
          <c:y val="0.89995842681303762"/>
          <c:w val="0.25549393827287697"/>
          <c:h val="7.0452923704453163E-2"/>
        </c:manualLayout>
      </c:layout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mk-MK"/>
              <a:t>Насилство</a:t>
            </a:r>
            <a:endParaRPr lang="en-US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Насилство!$D$2</c:f>
              <c:strCache>
                <c:ptCount val="1"/>
                <c:pt idx="0">
                  <c:v>2024 година</c:v>
                </c:pt>
              </c:strCache>
            </c:strRef>
          </c:tx>
          <c:dLbls>
            <c:showVal val="1"/>
          </c:dLbls>
          <c:cat>
            <c:strRef>
              <c:f>Насилство!$A$3:$C$10</c:f>
              <c:strCache>
                <c:ptCount val="8"/>
                <c:pt idx="0">
                  <c:v>СВР Скопје</c:v>
                </c:pt>
                <c:pt idx="1">
                  <c:v>СВР Битола</c:v>
                </c:pt>
                <c:pt idx="2">
                  <c:v>СВР Велес</c:v>
                </c:pt>
                <c:pt idx="3">
                  <c:v>СВР Куманово</c:v>
                </c:pt>
                <c:pt idx="4">
                  <c:v>СВР Охрид</c:v>
                </c:pt>
                <c:pt idx="5">
                  <c:v>СВР Струмица</c:v>
                </c:pt>
                <c:pt idx="6">
                  <c:v>СВР Тетово</c:v>
                </c:pt>
                <c:pt idx="7">
                  <c:v>СВР Штип</c:v>
                </c:pt>
              </c:strCache>
            </c:strRef>
          </c:cat>
          <c:val>
            <c:numRef>
              <c:f>Насилство!$D$3:$D$10</c:f>
              <c:numCache>
                <c:formatCode>General</c:formatCode>
                <c:ptCount val="8"/>
                <c:pt idx="0">
                  <c:v>119</c:v>
                </c:pt>
                <c:pt idx="1">
                  <c:v>23</c:v>
                </c:pt>
                <c:pt idx="2">
                  <c:v>16</c:v>
                </c:pt>
                <c:pt idx="3">
                  <c:v>64</c:v>
                </c:pt>
                <c:pt idx="4">
                  <c:v>11</c:v>
                </c:pt>
                <c:pt idx="5">
                  <c:v>14</c:v>
                </c:pt>
                <c:pt idx="6">
                  <c:v>73</c:v>
                </c:pt>
                <c:pt idx="7">
                  <c:v>33</c:v>
                </c:pt>
              </c:numCache>
            </c:numRef>
          </c:val>
        </c:ser>
        <c:ser>
          <c:idx val="1"/>
          <c:order val="1"/>
          <c:tx>
            <c:strRef>
              <c:f>Насилство!$E$2</c:f>
              <c:strCache>
                <c:ptCount val="1"/>
              </c:strCache>
            </c:strRef>
          </c:tx>
          <c:dLbls>
            <c:delete val="1"/>
          </c:dLbls>
          <c:cat>
            <c:strRef>
              <c:f>Насилство!$A$3:$C$10</c:f>
              <c:strCache>
                <c:ptCount val="8"/>
                <c:pt idx="0">
                  <c:v>СВР Скопје</c:v>
                </c:pt>
                <c:pt idx="1">
                  <c:v>СВР Битола</c:v>
                </c:pt>
                <c:pt idx="2">
                  <c:v>СВР Велес</c:v>
                </c:pt>
                <c:pt idx="3">
                  <c:v>СВР Куманово</c:v>
                </c:pt>
                <c:pt idx="4">
                  <c:v>СВР Охрид</c:v>
                </c:pt>
                <c:pt idx="5">
                  <c:v>СВР Струмица</c:v>
                </c:pt>
                <c:pt idx="6">
                  <c:v>СВР Тетово</c:v>
                </c:pt>
                <c:pt idx="7">
                  <c:v>СВР Штип</c:v>
                </c:pt>
              </c:strCache>
            </c:strRef>
          </c:cat>
          <c:val>
            <c:numRef>
              <c:f>Насилство!$E$3:$E$10</c:f>
              <c:numCache>
                <c:formatCode>General</c:formatCode>
                <c:ptCount val="8"/>
              </c:numCache>
            </c:numRef>
          </c:val>
        </c:ser>
        <c:ser>
          <c:idx val="2"/>
          <c:order val="2"/>
          <c:tx>
            <c:strRef>
              <c:f>Насилство!$F$2</c:f>
              <c:strCache>
                <c:ptCount val="1"/>
                <c:pt idx="0">
                  <c:v>2023 година</c:v>
                </c:pt>
              </c:strCache>
            </c:strRef>
          </c:tx>
          <c:dLbls>
            <c:dLbl>
              <c:idx val="0"/>
              <c:layout>
                <c:manualLayout>
                  <c:x val="1.0666663083115821E-2"/>
                  <c:y val="0"/>
                </c:manualLayout>
              </c:layout>
              <c:showVal val="1"/>
            </c:dLbl>
            <c:showVal val="1"/>
          </c:dLbls>
          <c:cat>
            <c:strRef>
              <c:f>Насилство!$A$3:$C$10</c:f>
              <c:strCache>
                <c:ptCount val="8"/>
                <c:pt idx="0">
                  <c:v>СВР Скопје</c:v>
                </c:pt>
                <c:pt idx="1">
                  <c:v>СВР Битола</c:v>
                </c:pt>
                <c:pt idx="2">
                  <c:v>СВР Велес</c:v>
                </c:pt>
                <c:pt idx="3">
                  <c:v>СВР Куманово</c:v>
                </c:pt>
                <c:pt idx="4">
                  <c:v>СВР Охрид</c:v>
                </c:pt>
                <c:pt idx="5">
                  <c:v>СВР Струмица</c:v>
                </c:pt>
                <c:pt idx="6">
                  <c:v>СВР Тетово</c:v>
                </c:pt>
                <c:pt idx="7">
                  <c:v>СВР Штип</c:v>
                </c:pt>
              </c:strCache>
            </c:strRef>
          </c:cat>
          <c:val>
            <c:numRef>
              <c:f>Насилство!$F$3:$F$10</c:f>
              <c:numCache>
                <c:formatCode>General</c:formatCode>
                <c:ptCount val="8"/>
                <c:pt idx="0">
                  <c:v>119</c:v>
                </c:pt>
                <c:pt idx="1">
                  <c:v>15</c:v>
                </c:pt>
                <c:pt idx="2">
                  <c:v>13</c:v>
                </c:pt>
                <c:pt idx="3">
                  <c:v>43</c:v>
                </c:pt>
                <c:pt idx="4">
                  <c:v>17</c:v>
                </c:pt>
                <c:pt idx="5">
                  <c:v>12</c:v>
                </c:pt>
                <c:pt idx="6">
                  <c:v>61</c:v>
                </c:pt>
                <c:pt idx="7">
                  <c:v>26</c:v>
                </c:pt>
              </c:numCache>
            </c:numRef>
          </c:val>
        </c:ser>
        <c:ser>
          <c:idx val="3"/>
          <c:order val="3"/>
          <c:tx>
            <c:strRef>
              <c:f>Насилство!$G$2</c:f>
              <c:strCache>
                <c:ptCount val="1"/>
              </c:strCache>
            </c:strRef>
          </c:tx>
          <c:dLbls>
            <c:dLblPos val="inEnd"/>
            <c:showVal val="1"/>
          </c:dLbls>
          <c:cat>
            <c:strRef>
              <c:f>Насилство!$A$3:$C$10</c:f>
              <c:strCache>
                <c:ptCount val="8"/>
                <c:pt idx="0">
                  <c:v>СВР Скопје</c:v>
                </c:pt>
                <c:pt idx="1">
                  <c:v>СВР Битола</c:v>
                </c:pt>
                <c:pt idx="2">
                  <c:v>СВР Велес</c:v>
                </c:pt>
                <c:pt idx="3">
                  <c:v>СВР Куманово</c:v>
                </c:pt>
                <c:pt idx="4">
                  <c:v>СВР Охрид</c:v>
                </c:pt>
                <c:pt idx="5">
                  <c:v>СВР Струмица</c:v>
                </c:pt>
                <c:pt idx="6">
                  <c:v>СВР Тетово</c:v>
                </c:pt>
                <c:pt idx="7">
                  <c:v>СВР Штип</c:v>
                </c:pt>
              </c:strCache>
            </c:strRef>
          </c:cat>
          <c:val>
            <c:numRef>
              <c:f>Насилство!$G$3:$G$10</c:f>
              <c:numCache>
                <c:formatCode>General</c:formatCode>
                <c:ptCount val="8"/>
              </c:numCache>
            </c:numRef>
          </c:val>
        </c:ser>
        <c:dLbls>
          <c:showVal val="1"/>
        </c:dLbls>
        <c:gapWidth val="75"/>
        <c:overlap val="40"/>
        <c:axId val="91196800"/>
        <c:axId val="91202688"/>
      </c:barChart>
      <c:catAx>
        <c:axId val="91196800"/>
        <c:scaling>
          <c:orientation val="minMax"/>
        </c:scaling>
        <c:axPos val="b"/>
        <c:majorTickMark val="none"/>
        <c:tickLblPos val="nextTo"/>
        <c:crossAx val="91202688"/>
        <c:crosses val="autoZero"/>
        <c:auto val="1"/>
        <c:lblAlgn val="ctr"/>
        <c:lblOffset val="100"/>
      </c:catAx>
      <c:valAx>
        <c:axId val="91202688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91196800"/>
        <c:crosses val="autoZero"/>
        <c:crossBetween val="between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82849087366899021"/>
          <c:y val="0.37228077259573439"/>
          <c:w val="0.14799885841508237"/>
          <c:h val="0.17663407458683111"/>
        </c:manualLayout>
      </c:layout>
    </c:legend>
    <c:plotVisOnly val="1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mk-MK"/>
              <a:t>Насилство</a:t>
            </a:r>
            <a:endParaRPr lang="en-US"/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0.14650096959690054"/>
          <c:y val="0.17119750780222751"/>
          <c:w val="0.77440830467161925"/>
          <c:h val="0.59116158233266181"/>
        </c:manualLayout>
      </c:layout>
      <c:barChart>
        <c:barDir val="bar"/>
        <c:grouping val="clustered"/>
        <c:ser>
          <c:idx val="0"/>
          <c:order val="0"/>
          <c:tx>
            <c:strRef>
              <c:f>Насилство!$D$2</c:f>
              <c:strCache>
                <c:ptCount val="1"/>
                <c:pt idx="0">
                  <c:v>2024 година</c:v>
                </c:pt>
              </c:strCache>
            </c:strRef>
          </c:tx>
          <c:dLbls>
            <c:showVal val="1"/>
          </c:dLbls>
          <c:cat>
            <c:strRef>
              <c:f>Насилство!$A$3:$C$10</c:f>
              <c:strCache>
                <c:ptCount val="8"/>
                <c:pt idx="0">
                  <c:v>СВР Скопје</c:v>
                </c:pt>
                <c:pt idx="1">
                  <c:v>СВР Битола</c:v>
                </c:pt>
                <c:pt idx="2">
                  <c:v>СВР Велес</c:v>
                </c:pt>
                <c:pt idx="3">
                  <c:v>СВР Куманово</c:v>
                </c:pt>
                <c:pt idx="4">
                  <c:v>СВР Охрид</c:v>
                </c:pt>
                <c:pt idx="5">
                  <c:v>СВР Струмица</c:v>
                </c:pt>
                <c:pt idx="6">
                  <c:v>СВР Тетово</c:v>
                </c:pt>
                <c:pt idx="7">
                  <c:v>СВР Штип</c:v>
                </c:pt>
              </c:strCache>
            </c:strRef>
          </c:cat>
          <c:val>
            <c:numRef>
              <c:f>Насилство!$D$3:$D$10</c:f>
              <c:numCache>
                <c:formatCode>General</c:formatCode>
                <c:ptCount val="8"/>
                <c:pt idx="0">
                  <c:v>119</c:v>
                </c:pt>
                <c:pt idx="1">
                  <c:v>23</c:v>
                </c:pt>
                <c:pt idx="2">
                  <c:v>16</c:v>
                </c:pt>
                <c:pt idx="3">
                  <c:v>64</c:v>
                </c:pt>
                <c:pt idx="4">
                  <c:v>11</c:v>
                </c:pt>
                <c:pt idx="5">
                  <c:v>14</c:v>
                </c:pt>
                <c:pt idx="6">
                  <c:v>73</c:v>
                </c:pt>
                <c:pt idx="7">
                  <c:v>33</c:v>
                </c:pt>
              </c:numCache>
            </c:numRef>
          </c:val>
        </c:ser>
        <c:ser>
          <c:idx val="1"/>
          <c:order val="1"/>
          <c:tx>
            <c:strRef>
              <c:f>Насилство!$E$2</c:f>
              <c:strCache>
                <c:ptCount val="1"/>
              </c:strCache>
            </c:strRef>
          </c:tx>
          <c:cat>
            <c:strRef>
              <c:f>Насилство!$A$3:$C$10</c:f>
              <c:strCache>
                <c:ptCount val="8"/>
                <c:pt idx="0">
                  <c:v>СВР Скопје</c:v>
                </c:pt>
                <c:pt idx="1">
                  <c:v>СВР Битола</c:v>
                </c:pt>
                <c:pt idx="2">
                  <c:v>СВР Велес</c:v>
                </c:pt>
                <c:pt idx="3">
                  <c:v>СВР Куманово</c:v>
                </c:pt>
                <c:pt idx="4">
                  <c:v>СВР Охрид</c:v>
                </c:pt>
                <c:pt idx="5">
                  <c:v>СВР Струмица</c:v>
                </c:pt>
                <c:pt idx="6">
                  <c:v>СВР Тетово</c:v>
                </c:pt>
                <c:pt idx="7">
                  <c:v>СВР Штип</c:v>
                </c:pt>
              </c:strCache>
            </c:strRef>
          </c:cat>
          <c:val>
            <c:numRef>
              <c:f>Насилство!$E$3:$E$10</c:f>
              <c:numCache>
                <c:formatCode>General</c:formatCode>
                <c:ptCount val="8"/>
              </c:numCache>
            </c:numRef>
          </c:val>
        </c:ser>
        <c:ser>
          <c:idx val="2"/>
          <c:order val="2"/>
          <c:tx>
            <c:strRef>
              <c:f>Насилство!$F$2</c:f>
              <c:strCache>
                <c:ptCount val="1"/>
                <c:pt idx="0">
                  <c:v>2023 година</c:v>
                </c:pt>
              </c:strCache>
            </c:strRef>
          </c:tx>
          <c:dLbls>
            <c:showVal val="1"/>
          </c:dLbls>
          <c:cat>
            <c:strRef>
              <c:f>Насилство!$A$3:$C$10</c:f>
              <c:strCache>
                <c:ptCount val="8"/>
                <c:pt idx="0">
                  <c:v>СВР Скопје</c:v>
                </c:pt>
                <c:pt idx="1">
                  <c:v>СВР Битола</c:v>
                </c:pt>
                <c:pt idx="2">
                  <c:v>СВР Велес</c:v>
                </c:pt>
                <c:pt idx="3">
                  <c:v>СВР Куманово</c:v>
                </c:pt>
                <c:pt idx="4">
                  <c:v>СВР Охрид</c:v>
                </c:pt>
                <c:pt idx="5">
                  <c:v>СВР Струмица</c:v>
                </c:pt>
                <c:pt idx="6">
                  <c:v>СВР Тетово</c:v>
                </c:pt>
                <c:pt idx="7">
                  <c:v>СВР Штип</c:v>
                </c:pt>
              </c:strCache>
            </c:strRef>
          </c:cat>
          <c:val>
            <c:numRef>
              <c:f>Насилство!$F$3:$F$10</c:f>
              <c:numCache>
                <c:formatCode>General</c:formatCode>
                <c:ptCount val="8"/>
                <c:pt idx="0">
                  <c:v>119</c:v>
                </c:pt>
                <c:pt idx="1">
                  <c:v>15</c:v>
                </c:pt>
                <c:pt idx="2">
                  <c:v>13</c:v>
                </c:pt>
                <c:pt idx="3">
                  <c:v>43</c:v>
                </c:pt>
                <c:pt idx="4">
                  <c:v>17</c:v>
                </c:pt>
                <c:pt idx="5">
                  <c:v>12</c:v>
                </c:pt>
                <c:pt idx="6">
                  <c:v>61</c:v>
                </c:pt>
                <c:pt idx="7">
                  <c:v>26</c:v>
                </c:pt>
              </c:numCache>
            </c:numRef>
          </c:val>
        </c:ser>
        <c:ser>
          <c:idx val="3"/>
          <c:order val="3"/>
          <c:tx>
            <c:strRef>
              <c:f>Насилство!$G$2</c:f>
              <c:strCache>
                <c:ptCount val="1"/>
              </c:strCache>
            </c:strRef>
          </c:tx>
          <c:cat>
            <c:strRef>
              <c:f>Насилство!$A$3:$C$10</c:f>
              <c:strCache>
                <c:ptCount val="8"/>
                <c:pt idx="0">
                  <c:v>СВР Скопје</c:v>
                </c:pt>
                <c:pt idx="1">
                  <c:v>СВР Битола</c:v>
                </c:pt>
                <c:pt idx="2">
                  <c:v>СВР Велес</c:v>
                </c:pt>
                <c:pt idx="3">
                  <c:v>СВР Куманово</c:v>
                </c:pt>
                <c:pt idx="4">
                  <c:v>СВР Охрид</c:v>
                </c:pt>
                <c:pt idx="5">
                  <c:v>СВР Струмица</c:v>
                </c:pt>
                <c:pt idx="6">
                  <c:v>СВР Тетово</c:v>
                </c:pt>
                <c:pt idx="7">
                  <c:v>СВР Штип</c:v>
                </c:pt>
              </c:strCache>
            </c:strRef>
          </c:cat>
          <c:val>
            <c:numRef>
              <c:f>Насилство!$G$3:$G$10</c:f>
              <c:numCache>
                <c:formatCode>General</c:formatCode>
                <c:ptCount val="8"/>
              </c:numCache>
            </c:numRef>
          </c:val>
        </c:ser>
        <c:axId val="91267840"/>
        <c:axId val="91269376"/>
      </c:barChart>
      <c:catAx>
        <c:axId val="91267840"/>
        <c:scaling>
          <c:orientation val="maxMin"/>
        </c:scaling>
        <c:axPos val="l"/>
        <c:majorGridlines/>
        <c:tickLblPos val="nextTo"/>
        <c:crossAx val="91269376"/>
        <c:crosses val="autoZero"/>
        <c:auto val="1"/>
        <c:lblAlgn val="ctr"/>
        <c:lblOffset val="100"/>
      </c:catAx>
      <c:valAx>
        <c:axId val="91269376"/>
        <c:scaling>
          <c:orientation val="minMax"/>
        </c:scaling>
        <c:axPos val="b"/>
        <c:numFmt formatCode="General" sourceLinked="1"/>
        <c:tickLblPos val="nextTo"/>
        <c:crossAx val="91267840"/>
        <c:crosses val="max"/>
        <c:crossBetween val="between"/>
      </c:valAx>
    </c:plotArea>
    <c:legend>
      <c:legendPos val="b"/>
      <c:legendEntry>
        <c:idx val="1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37345445560631307"/>
          <c:y val="0.8858164294765325"/>
          <c:w val="0.29253283708938882"/>
          <c:h val="8.5221396469694982E-2"/>
        </c:manualLayout>
      </c:layout>
    </c:legend>
    <c:plotVisOnly val="1"/>
  </c:chart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mk-MK"/>
              <a:t>Насилство</a:t>
            </a:r>
            <a:endParaRPr lang="en-US"/>
          </a:p>
        </c:rich>
      </c:tx>
      <c:layout>
        <c:manualLayout>
          <c:xMode val="edge"/>
          <c:yMode val="edge"/>
          <c:x val="0.4074665082247424"/>
          <c:y val="5.5981327802789554E-2"/>
        </c:manualLayout>
      </c:layout>
      <c:overlay val="1"/>
    </c:title>
    <c:plotArea>
      <c:layout>
        <c:manualLayout>
          <c:layoutTarget val="inner"/>
          <c:xMode val="edge"/>
          <c:yMode val="edge"/>
          <c:x val="0.4237181083329794"/>
          <c:y val="0.20079475853565693"/>
          <c:w val="0.40072526255038649"/>
          <c:h val="0.78395772874496306"/>
        </c:manualLayout>
      </c:layout>
      <c:pie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1.2996436675559888E-2"/>
                  <c:y val="8.4947705168984325E-3"/>
                </c:manualLayout>
              </c:layout>
              <c:showVal val="1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53.3%</a:t>
                    </a:r>
                  </a:p>
                </c:rich>
              </c:tx>
              <c:showVal val="1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23.1%</a:t>
                    </a:r>
                  </a:p>
                </c:rich>
              </c:tx>
              <c:showVal val="1"/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48.8%</a:t>
                    </a:r>
                  </a:p>
                </c:rich>
              </c:tx>
              <c:showVal val="1"/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/>
                      <a:t>-35.3%</a:t>
                    </a:r>
                  </a:p>
                </c:rich>
              </c:tx>
              <c:showVal val="1"/>
            </c:dLbl>
            <c:dLbl>
              <c:idx val="5"/>
              <c:layout/>
              <c:tx>
                <c:rich>
                  <a:bodyPr/>
                  <a:lstStyle/>
                  <a:p>
                    <a:r>
                      <a:rPr lang="en-US"/>
                      <a:t>16.6%</a:t>
                    </a:r>
                  </a:p>
                </c:rich>
              </c:tx>
              <c:showVal val="1"/>
            </c:dLbl>
            <c:dLbl>
              <c:idx val="6"/>
              <c:layout>
                <c:manualLayout>
                  <c:x val="8.463348242150727E-2"/>
                  <c:y val="6.395424087704985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19.7%</a:t>
                    </a:r>
                  </a:p>
                </c:rich>
              </c:tx>
              <c:showVal val="1"/>
            </c:dLbl>
            <c:dLbl>
              <c:idx val="7"/>
              <c:layout/>
              <c:tx>
                <c:rich>
                  <a:bodyPr/>
                  <a:lstStyle/>
                  <a:p>
                    <a:r>
                      <a:rPr lang="en-US"/>
                      <a:t>26.9%</a:t>
                    </a:r>
                  </a:p>
                </c:rich>
              </c:tx>
              <c:showVal val="1"/>
            </c:dLbl>
            <c:showVal val="1"/>
            <c:showLeaderLines val="1"/>
          </c:dLbls>
          <c:cat>
            <c:strRef>
              <c:f>Насилство!$A$3:$C$10</c:f>
              <c:strCache>
                <c:ptCount val="8"/>
                <c:pt idx="0">
                  <c:v>СВР Скопје</c:v>
                </c:pt>
                <c:pt idx="1">
                  <c:v>СВР Битола</c:v>
                </c:pt>
                <c:pt idx="2">
                  <c:v>СВР Велес</c:v>
                </c:pt>
                <c:pt idx="3">
                  <c:v>СВР Куманово</c:v>
                </c:pt>
                <c:pt idx="4">
                  <c:v>СВР Охрид</c:v>
                </c:pt>
                <c:pt idx="5">
                  <c:v>СВР Струмица</c:v>
                </c:pt>
                <c:pt idx="6">
                  <c:v>СВР Тетово</c:v>
                </c:pt>
                <c:pt idx="7">
                  <c:v>СВР Штип</c:v>
                </c:pt>
              </c:strCache>
            </c:strRef>
          </c:cat>
          <c:val>
            <c:numRef>
              <c:f>Насилство!$H$3:$H$10</c:f>
              <c:numCache>
                <c:formatCode>[Color3]0.0%\↗;[Color10]\-0.0%\↓;0.0%</c:formatCode>
                <c:ptCount val="8"/>
                <c:pt idx="0" formatCode="0">
                  <c:v>0</c:v>
                </c:pt>
                <c:pt idx="1">
                  <c:v>0.53333333333333333</c:v>
                </c:pt>
                <c:pt idx="2">
                  <c:v>0.23076923076923078</c:v>
                </c:pt>
                <c:pt idx="3">
                  <c:v>0.48837209302325579</c:v>
                </c:pt>
                <c:pt idx="4">
                  <c:v>-0.35294117647058826</c:v>
                </c:pt>
                <c:pt idx="5">
                  <c:v>0.16600000000000001</c:v>
                </c:pt>
                <c:pt idx="6">
                  <c:v>0.19672131147540983</c:v>
                </c:pt>
                <c:pt idx="7">
                  <c:v>0.26923076923076922</c:v>
                </c:pt>
              </c:numCache>
            </c:numRef>
          </c:val>
        </c:ser>
        <c:ser>
          <c:idx val="1"/>
          <c:order val="1"/>
          <c:explosion val="25"/>
          <c:cat>
            <c:strRef>
              <c:f>Насилство!$A$3:$C$10</c:f>
              <c:strCache>
                <c:ptCount val="8"/>
                <c:pt idx="0">
                  <c:v>СВР Скопје</c:v>
                </c:pt>
                <c:pt idx="1">
                  <c:v>СВР Битола</c:v>
                </c:pt>
                <c:pt idx="2">
                  <c:v>СВР Велес</c:v>
                </c:pt>
                <c:pt idx="3">
                  <c:v>СВР Куманово</c:v>
                </c:pt>
                <c:pt idx="4">
                  <c:v>СВР Охрид</c:v>
                </c:pt>
                <c:pt idx="5">
                  <c:v>СВР Струмица</c:v>
                </c:pt>
                <c:pt idx="6">
                  <c:v>СВР Тетово</c:v>
                </c:pt>
                <c:pt idx="7">
                  <c:v>СВР Штип</c:v>
                </c:pt>
              </c:strCache>
            </c:strRef>
          </c:cat>
          <c:val>
            <c:numRef>
              <c:f>Насилство!$I$3:$I$10</c:f>
              <c:numCache>
                <c:formatCode>[Color3]0.0%\↗;[Color10]\-0.0%\↓;0.0%</c:formatCode>
                <c:ptCount val="8"/>
              </c:numCache>
            </c:numRef>
          </c:val>
        </c:ser>
        <c:firstSliceAng val="0"/>
      </c:pieChart>
    </c:plotArea>
    <c:legend>
      <c:legendPos val="r"/>
      <c:layout>
        <c:manualLayout>
          <c:xMode val="edge"/>
          <c:yMode val="edge"/>
          <c:x val="9.1590630297962231E-2"/>
          <c:y val="0.1701545846597938"/>
          <c:w val="0.28646728062272431"/>
          <c:h val="0.78569888027898793"/>
        </c:manualLayout>
      </c:layout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mk-MK" baseline="0"/>
              <a:t>Трговија со луѓе</a:t>
            </a:r>
            <a:endParaRPr lang="en-US"/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6.6610528112279799E-2"/>
          <c:y val="0.14750093516136853"/>
          <c:w val="0.91075753572702056"/>
          <c:h val="0.54973360538341964"/>
        </c:manualLayout>
      </c:layout>
      <c:barChart>
        <c:barDir val="col"/>
        <c:grouping val="clustered"/>
        <c:ser>
          <c:idx val="0"/>
          <c:order val="0"/>
          <c:spPr>
            <a:ln>
              <a:solidFill>
                <a:schemeClr val="accent1"/>
              </a:solidFill>
            </a:ln>
          </c:spPr>
          <c:cat>
            <c:strRef>
              <c:f>'Tрговија со луѓе'!$A$3:$A$7</c:f>
              <c:strCache>
                <c:ptCount val="5"/>
                <c:pt idx="0">
                  <c:v>Број на акциски контроли</c:v>
                </c:pt>
                <c:pt idx="2">
                  <c:v>Број на угостителски објекти</c:v>
                </c:pt>
                <c:pt idx="4">
                  <c:v>Број на странски државјани</c:v>
                </c:pt>
              </c:strCache>
            </c:strRef>
          </c:cat>
          <c:val>
            <c:numRef>
              <c:f>'Tрговија со луѓе'!$B$3:$B$7</c:f>
              <c:numCache>
                <c:formatCode>General</c:formatCode>
                <c:ptCount val="5"/>
              </c:numCache>
            </c:numRef>
          </c:val>
        </c:ser>
        <c:ser>
          <c:idx val="1"/>
          <c:order val="1"/>
          <c:cat>
            <c:strRef>
              <c:f>'Tрговија со луѓе'!$A$3:$A$7</c:f>
              <c:strCache>
                <c:ptCount val="5"/>
                <c:pt idx="0">
                  <c:v>Број на акциски контроли</c:v>
                </c:pt>
                <c:pt idx="2">
                  <c:v>Број на угостителски објекти</c:v>
                </c:pt>
                <c:pt idx="4">
                  <c:v>Број на странски државјани</c:v>
                </c:pt>
              </c:strCache>
            </c:strRef>
          </c:cat>
          <c:val>
            <c:numRef>
              <c:f>'Tрговија со луѓе'!$C$3:$C$7</c:f>
              <c:numCache>
                <c:formatCode>General</c:formatCode>
                <c:ptCount val="5"/>
              </c:numCache>
            </c:numRef>
          </c:val>
        </c:ser>
        <c:ser>
          <c:idx val="2"/>
          <c:order val="2"/>
          <c:tx>
            <c:v>2024 година</c:v>
          </c:tx>
          <c:dLbls>
            <c:dLbl>
              <c:idx val="2"/>
              <c:layout>
                <c:manualLayout>
                  <c:x val="0"/>
                  <c:y val="2.1947887075183227E-2"/>
                </c:manualLayout>
              </c:layout>
              <c:showVal val="1"/>
            </c:dLbl>
            <c:showVal val="1"/>
          </c:dLbls>
          <c:cat>
            <c:strRef>
              <c:f>'Tрговија со луѓе'!$A$3:$A$7</c:f>
              <c:strCache>
                <c:ptCount val="5"/>
                <c:pt idx="0">
                  <c:v>Број на акциски контроли</c:v>
                </c:pt>
                <c:pt idx="2">
                  <c:v>Број на угостителски објекти</c:v>
                </c:pt>
                <c:pt idx="4">
                  <c:v>Број на странски државјани</c:v>
                </c:pt>
              </c:strCache>
            </c:strRef>
          </c:cat>
          <c:val>
            <c:numRef>
              <c:f>'Tрговија со луѓе'!$D$3:$D$7</c:f>
              <c:numCache>
                <c:formatCode>General</c:formatCode>
                <c:ptCount val="5"/>
                <c:pt idx="0">
                  <c:v>46</c:v>
                </c:pt>
                <c:pt idx="2">
                  <c:v>67</c:v>
                </c:pt>
                <c:pt idx="4">
                  <c:v>207</c:v>
                </c:pt>
              </c:numCache>
            </c:numRef>
          </c:val>
        </c:ser>
        <c:ser>
          <c:idx val="3"/>
          <c:order val="3"/>
          <c:cat>
            <c:strRef>
              <c:f>'Tрговија со луѓе'!$A$3:$A$7</c:f>
              <c:strCache>
                <c:ptCount val="5"/>
                <c:pt idx="0">
                  <c:v>Број на акциски контроли</c:v>
                </c:pt>
                <c:pt idx="2">
                  <c:v>Број на угостителски објекти</c:v>
                </c:pt>
                <c:pt idx="4">
                  <c:v>Број на странски државјани</c:v>
                </c:pt>
              </c:strCache>
            </c:strRef>
          </c:cat>
          <c:val>
            <c:numRef>
              <c:f>'Tрговија со луѓе'!$E$3:$E$7</c:f>
              <c:numCache>
                <c:formatCode>General</c:formatCode>
                <c:ptCount val="5"/>
              </c:numCache>
            </c:numRef>
          </c:val>
        </c:ser>
        <c:ser>
          <c:idx val="4"/>
          <c:order val="4"/>
          <c:tx>
            <c:v>2023 година</c:v>
          </c:tx>
          <c:dLbls>
            <c:showVal val="1"/>
          </c:dLbls>
          <c:cat>
            <c:strRef>
              <c:f>'Tрговија со луѓе'!$A$3:$A$7</c:f>
              <c:strCache>
                <c:ptCount val="5"/>
                <c:pt idx="0">
                  <c:v>Број на акциски контроли</c:v>
                </c:pt>
                <c:pt idx="2">
                  <c:v>Број на угостителски објекти</c:v>
                </c:pt>
                <c:pt idx="4">
                  <c:v>Број на странски државјани</c:v>
                </c:pt>
              </c:strCache>
            </c:strRef>
          </c:cat>
          <c:val>
            <c:numRef>
              <c:f>'Tрговија со луѓе'!$F$3:$F$7</c:f>
              <c:numCache>
                <c:formatCode>General</c:formatCode>
                <c:ptCount val="5"/>
                <c:pt idx="0">
                  <c:v>38</c:v>
                </c:pt>
                <c:pt idx="2">
                  <c:v>71</c:v>
                </c:pt>
                <c:pt idx="4">
                  <c:v>185</c:v>
                </c:pt>
              </c:numCache>
            </c:numRef>
          </c:val>
        </c:ser>
        <c:ser>
          <c:idx val="5"/>
          <c:order val="5"/>
          <c:cat>
            <c:strRef>
              <c:f>'Tрговија со луѓе'!$A$3:$A$7</c:f>
              <c:strCache>
                <c:ptCount val="5"/>
                <c:pt idx="0">
                  <c:v>Број на акциски контроли</c:v>
                </c:pt>
                <c:pt idx="2">
                  <c:v>Број на угостителски објекти</c:v>
                </c:pt>
                <c:pt idx="4">
                  <c:v>Број на странски државјани</c:v>
                </c:pt>
              </c:strCache>
            </c:strRef>
          </c:cat>
          <c:val>
            <c:numRef>
              <c:f>'Tрговија со луѓе'!$G$3:$G$7</c:f>
              <c:numCache>
                <c:formatCode>General</c:formatCode>
                <c:ptCount val="5"/>
              </c:numCache>
            </c:numRef>
          </c:val>
        </c:ser>
        <c:ser>
          <c:idx val="6"/>
          <c:order val="6"/>
          <c:tx>
            <c:v>2022 година</c:v>
          </c:tx>
          <c:dLbls>
            <c:dLbl>
              <c:idx val="0"/>
              <c:layout>
                <c:manualLayout>
                  <c:x val="0"/>
                  <c:y val="1.407211571489672E-2"/>
                </c:manualLayout>
              </c:layout>
              <c:showVal val="1"/>
            </c:dLbl>
            <c:showVal val="1"/>
          </c:dLbls>
          <c:cat>
            <c:strRef>
              <c:f>'Tрговија со луѓе'!$A$3:$A$7</c:f>
              <c:strCache>
                <c:ptCount val="5"/>
                <c:pt idx="0">
                  <c:v>Број на акциски контроли</c:v>
                </c:pt>
                <c:pt idx="2">
                  <c:v>Број на угостителски објекти</c:v>
                </c:pt>
                <c:pt idx="4">
                  <c:v>Број на странски државјани</c:v>
                </c:pt>
              </c:strCache>
            </c:strRef>
          </c:cat>
          <c:val>
            <c:numRef>
              <c:f>'Tрговија со луѓе'!$H$3:$H$7</c:f>
              <c:numCache>
                <c:formatCode>General</c:formatCode>
                <c:ptCount val="5"/>
                <c:pt idx="0">
                  <c:v>27</c:v>
                </c:pt>
                <c:pt idx="2">
                  <c:v>38</c:v>
                </c:pt>
                <c:pt idx="4">
                  <c:v>311</c:v>
                </c:pt>
              </c:numCache>
            </c:numRef>
          </c:val>
        </c:ser>
        <c:gapWidth val="50"/>
        <c:overlap val="39"/>
        <c:axId val="91578752"/>
        <c:axId val="91580288"/>
      </c:barChart>
      <c:catAx>
        <c:axId val="91578752"/>
        <c:scaling>
          <c:orientation val="minMax"/>
        </c:scaling>
        <c:axPos val="b"/>
        <c:tickLblPos val="nextTo"/>
        <c:crossAx val="91580288"/>
        <c:crosses val="autoZero"/>
        <c:auto val="1"/>
        <c:lblAlgn val="ctr"/>
        <c:lblOffset val="100"/>
      </c:catAx>
      <c:valAx>
        <c:axId val="91580288"/>
        <c:scaling>
          <c:orientation val="minMax"/>
        </c:scaling>
        <c:axPos val="l"/>
        <c:majorGridlines/>
        <c:numFmt formatCode="General" sourceLinked="1"/>
        <c:tickLblPos val="nextTo"/>
        <c:crossAx val="91578752"/>
        <c:crosses val="autoZero"/>
        <c:crossBetween val="between"/>
      </c:valAx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3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27124341803215329"/>
          <c:y val="0.84272472687083144"/>
          <c:w val="0.46177969067649927"/>
          <c:h val="0.11610512495723267"/>
        </c:manualLayout>
      </c:layout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mk-MK" baseline="0"/>
              <a:t> Трговија со деца</a:t>
            </a:r>
            <a:endParaRPr lang="en-US"/>
          </a:p>
        </c:rich>
      </c:tx>
      <c:layout>
        <c:manualLayout>
          <c:xMode val="edge"/>
          <c:yMode val="edge"/>
          <c:x val="0.39241054646500922"/>
          <c:y val="3.7558707661059669E-2"/>
        </c:manualLayout>
      </c:layout>
      <c:overlay val="1"/>
    </c:title>
    <c:plotArea>
      <c:layout>
        <c:manualLayout>
          <c:layoutTarget val="inner"/>
          <c:xMode val="edge"/>
          <c:yMode val="edge"/>
          <c:x val="7.4350610805612144E-2"/>
          <c:y val="0.17727466440482539"/>
          <c:w val="0.89115150324485715"/>
          <c:h val="0.59034654491987759"/>
        </c:manualLayout>
      </c:layout>
      <c:barChart>
        <c:barDir val="col"/>
        <c:grouping val="clustered"/>
        <c:ser>
          <c:idx val="3"/>
          <c:order val="0"/>
          <c:tx>
            <c:v>2024 година</c:v>
          </c:tx>
          <c:dLbls>
            <c:dLbl>
              <c:idx val="0"/>
              <c:layout>
                <c:manualLayout>
                  <c:x val="0"/>
                  <c:y val="1.3168727693523322E-2"/>
                </c:manualLayout>
              </c:layout>
              <c:showVal val="1"/>
            </c:dLbl>
            <c:dLbl>
              <c:idx val="1"/>
              <c:layout>
                <c:manualLayout>
                  <c:x val="1.8454439258956973E-3"/>
                  <c:y val="1.8779353830529789E-2"/>
                </c:manualLayout>
              </c:layout>
              <c:showVal val="1"/>
            </c:dLbl>
            <c:showVal val="1"/>
          </c:dLbls>
          <c:cat>
            <c:strRef>
              <c:f>'Tрговија со луѓе'!$A$14:$A$16</c:f>
              <c:strCache>
                <c:ptCount val="3"/>
                <c:pt idx="0">
                  <c:v>Број на кривични дела </c:v>
                </c:pt>
                <c:pt idx="1">
                  <c:v>Број на сторители</c:v>
                </c:pt>
                <c:pt idx="2">
                  <c:v>Број на жртви</c:v>
                </c:pt>
              </c:strCache>
            </c:strRef>
          </c:cat>
          <c:val>
            <c:numRef>
              <c:f>'Tрговија со луѓе'!$E$14:$E$16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</c:ser>
        <c:ser>
          <c:idx val="4"/>
          <c:order val="1"/>
          <c:tx>
            <c:strRef>
              <c:f>'Tрговија со луѓе'!$F$13</c:f>
              <c:strCache>
                <c:ptCount val="1"/>
              </c:strCache>
            </c:strRef>
          </c:tx>
          <c:cat>
            <c:strRef>
              <c:f>'Tрговија со луѓе'!$A$14:$A$16</c:f>
              <c:strCache>
                <c:ptCount val="3"/>
                <c:pt idx="0">
                  <c:v>Број на кривични дела </c:v>
                </c:pt>
                <c:pt idx="1">
                  <c:v>Број на сторители</c:v>
                </c:pt>
                <c:pt idx="2">
                  <c:v>Број на жртви</c:v>
                </c:pt>
              </c:strCache>
            </c:strRef>
          </c:cat>
          <c:val>
            <c:numRef>
              <c:f>'Tрговија со луѓе'!$F$14:$F$16</c:f>
              <c:numCache>
                <c:formatCode>General</c:formatCode>
                <c:ptCount val="3"/>
              </c:numCache>
            </c:numRef>
          </c:val>
        </c:ser>
        <c:ser>
          <c:idx val="0"/>
          <c:order val="2"/>
          <c:tx>
            <c:v>2023 година</c:v>
          </c:tx>
          <c:dLbls>
            <c:showVal val="1"/>
          </c:dLbls>
          <c:cat>
            <c:strRef>
              <c:f>'Tрговија со луѓе'!$A$14:$A$16</c:f>
              <c:strCache>
                <c:ptCount val="3"/>
                <c:pt idx="0">
                  <c:v>Број на кривични дела </c:v>
                </c:pt>
                <c:pt idx="1">
                  <c:v>Број на сторители</c:v>
                </c:pt>
                <c:pt idx="2">
                  <c:v>Број на жртви</c:v>
                </c:pt>
              </c:strCache>
            </c:strRef>
          </c:cat>
          <c:val>
            <c:numRef>
              <c:f>'Tрговија со луѓе'!$G$14:$G$16</c:f>
              <c:numCache>
                <c:formatCode>General</c:formatCode>
                <c:ptCount val="3"/>
                <c:pt idx="0">
                  <c:v>8</c:v>
                </c:pt>
                <c:pt idx="1">
                  <c:v>31</c:v>
                </c:pt>
                <c:pt idx="2">
                  <c:v>4</c:v>
                </c:pt>
              </c:numCache>
            </c:numRef>
          </c:val>
        </c:ser>
        <c:ser>
          <c:idx val="1"/>
          <c:order val="3"/>
          <c:tx>
            <c:strRef>
              <c:f>'Tрговија со луѓе'!$H$13</c:f>
              <c:strCache>
                <c:ptCount val="1"/>
              </c:strCache>
            </c:strRef>
          </c:tx>
          <c:cat>
            <c:strRef>
              <c:f>'Tрговија со луѓе'!$A$14:$A$16</c:f>
              <c:strCache>
                <c:ptCount val="3"/>
                <c:pt idx="0">
                  <c:v>Број на кривични дела </c:v>
                </c:pt>
                <c:pt idx="1">
                  <c:v>Број на сторители</c:v>
                </c:pt>
                <c:pt idx="2">
                  <c:v>Број на жртви</c:v>
                </c:pt>
              </c:strCache>
            </c:strRef>
          </c:cat>
          <c:val>
            <c:numRef>
              <c:f>'Tрговија со луѓе'!$H$14:$H$16</c:f>
              <c:numCache>
                <c:formatCode>General</c:formatCode>
                <c:ptCount val="3"/>
              </c:numCache>
            </c:numRef>
          </c:val>
        </c:ser>
        <c:ser>
          <c:idx val="5"/>
          <c:order val="4"/>
          <c:tx>
            <c:v>2022 година</c:v>
          </c:tx>
          <c:dLbls>
            <c:showVal val="1"/>
          </c:dLbls>
          <c:cat>
            <c:strRef>
              <c:f>'Tрговија со луѓе'!$A$14:$A$16</c:f>
              <c:strCache>
                <c:ptCount val="3"/>
                <c:pt idx="0">
                  <c:v>Број на кривични дела </c:v>
                </c:pt>
                <c:pt idx="1">
                  <c:v>Број на сторители</c:v>
                </c:pt>
                <c:pt idx="2">
                  <c:v>Број на жртви</c:v>
                </c:pt>
              </c:strCache>
            </c:strRef>
          </c:cat>
          <c:val>
            <c:numRef>
              <c:f>'Tрговија со луѓе'!$I$14:$I$16</c:f>
              <c:numCache>
                <c:formatCode>General</c:formatCode>
                <c:ptCount val="3"/>
                <c:pt idx="0">
                  <c:v>7</c:v>
                </c:pt>
                <c:pt idx="1">
                  <c:v>15</c:v>
                </c:pt>
                <c:pt idx="2">
                  <c:v>5</c:v>
                </c:pt>
              </c:numCache>
            </c:numRef>
          </c:val>
        </c:ser>
        <c:ser>
          <c:idx val="6"/>
          <c:order val="5"/>
          <c:tx>
            <c:strRef>
              <c:f>'Tрговија со луѓе'!$J$13</c:f>
              <c:strCache>
                <c:ptCount val="1"/>
              </c:strCache>
            </c:strRef>
          </c:tx>
          <c:cat>
            <c:strRef>
              <c:f>'Tрговија со луѓе'!$A$14:$A$16</c:f>
              <c:strCache>
                <c:ptCount val="3"/>
                <c:pt idx="0">
                  <c:v>Број на кривични дела </c:v>
                </c:pt>
                <c:pt idx="1">
                  <c:v>Број на сторители</c:v>
                </c:pt>
                <c:pt idx="2">
                  <c:v>Број на жртви</c:v>
                </c:pt>
              </c:strCache>
            </c:strRef>
          </c:cat>
          <c:val>
            <c:numRef>
              <c:f>'Tрговија со луѓе'!$J$14:$J$16</c:f>
              <c:numCache>
                <c:formatCode>General</c:formatCode>
                <c:ptCount val="3"/>
              </c:numCache>
            </c:numRef>
          </c:val>
        </c:ser>
        <c:gapWidth val="352"/>
        <c:overlap val="24"/>
        <c:axId val="91513216"/>
        <c:axId val="91514752"/>
      </c:barChart>
      <c:catAx>
        <c:axId val="91513216"/>
        <c:scaling>
          <c:orientation val="minMax"/>
        </c:scaling>
        <c:axPos val="b"/>
        <c:numFmt formatCode="General" sourceLinked="1"/>
        <c:tickLblPos val="nextTo"/>
        <c:crossAx val="91514752"/>
        <c:crosses val="autoZero"/>
        <c:auto val="1"/>
        <c:lblAlgn val="ctr"/>
        <c:lblOffset val="100"/>
      </c:catAx>
      <c:valAx>
        <c:axId val="91514752"/>
        <c:scaling>
          <c:orientation val="minMax"/>
        </c:scaling>
        <c:axPos val="l"/>
        <c:majorGridlines/>
        <c:numFmt formatCode="General" sourceLinked="1"/>
        <c:tickLblPos val="nextTo"/>
        <c:crossAx val="91513216"/>
        <c:crosses val="autoZero"/>
        <c:crossBetween val="between"/>
      </c:valAx>
    </c:plotArea>
    <c:legend>
      <c:legendPos val="b"/>
      <c:legendEntry>
        <c:idx val="3"/>
        <c:delete val="1"/>
      </c:legendEntry>
      <c:legendEntry>
        <c:idx val="5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30295978981557764"/>
          <c:y val="0.89437721250179114"/>
          <c:w val="0.42103454424001352"/>
          <c:h val="6.7917085751852874E-2"/>
        </c:manualLayout>
      </c:layout>
    </c:legend>
    <c:plotVisOnly val="1"/>
  </c:chart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mk-MK"/>
              <a:t>Тешка</a:t>
            </a:r>
            <a:r>
              <a:rPr lang="mk-MK" baseline="0"/>
              <a:t> кражба</a:t>
            </a:r>
            <a:endParaRPr lang="en-US"/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0.11152902470685749"/>
          <c:y val="0.19954870224555263"/>
          <c:w val="0.72828946602079303"/>
          <c:h val="0.59357247010790026"/>
        </c:manualLayout>
      </c:layout>
      <c:barChart>
        <c:barDir val="col"/>
        <c:grouping val="clustered"/>
        <c:ser>
          <c:idx val="0"/>
          <c:order val="0"/>
          <c:tx>
            <c:strRef>
              <c:f>'Тешки кражби'!$D$2</c:f>
              <c:strCache>
                <c:ptCount val="1"/>
                <c:pt idx="0">
                  <c:v>2024 година</c:v>
                </c:pt>
              </c:strCache>
            </c:strRef>
          </c:tx>
          <c:dLbls>
            <c:showVal val="1"/>
          </c:dLbls>
          <c:cat>
            <c:strRef>
              <c:f>'Тешки кражби'!$A$3:$C$10</c:f>
              <c:strCache>
                <c:ptCount val="8"/>
                <c:pt idx="0">
                  <c:v>СВР Скопје</c:v>
                </c:pt>
                <c:pt idx="1">
                  <c:v>СВР Битола</c:v>
                </c:pt>
                <c:pt idx="2">
                  <c:v>СВР Велес</c:v>
                </c:pt>
                <c:pt idx="3">
                  <c:v>СВР Куманово</c:v>
                </c:pt>
                <c:pt idx="4">
                  <c:v>СВР Охрид</c:v>
                </c:pt>
                <c:pt idx="5">
                  <c:v>СВР Струмица</c:v>
                </c:pt>
                <c:pt idx="6">
                  <c:v>СВР Тетово</c:v>
                </c:pt>
                <c:pt idx="7">
                  <c:v>СВР Штип</c:v>
                </c:pt>
              </c:strCache>
            </c:strRef>
          </c:cat>
          <c:val>
            <c:numRef>
              <c:f>'Тешки кражби'!$D$3:$D$10</c:f>
              <c:numCache>
                <c:formatCode>General</c:formatCode>
                <c:ptCount val="8"/>
                <c:pt idx="0" formatCode="#,##0">
                  <c:v>3217</c:v>
                </c:pt>
                <c:pt idx="1">
                  <c:v>757</c:v>
                </c:pt>
                <c:pt idx="2">
                  <c:v>220</c:v>
                </c:pt>
                <c:pt idx="3">
                  <c:v>262</c:v>
                </c:pt>
                <c:pt idx="4">
                  <c:v>263</c:v>
                </c:pt>
                <c:pt idx="5">
                  <c:v>237</c:v>
                </c:pt>
                <c:pt idx="6">
                  <c:v>245</c:v>
                </c:pt>
                <c:pt idx="7">
                  <c:v>624</c:v>
                </c:pt>
              </c:numCache>
            </c:numRef>
          </c:val>
        </c:ser>
        <c:ser>
          <c:idx val="1"/>
          <c:order val="1"/>
          <c:tx>
            <c:strRef>
              <c:f>'Тешки кражби'!$E$2</c:f>
              <c:strCache>
                <c:ptCount val="1"/>
              </c:strCache>
            </c:strRef>
          </c:tx>
          <c:cat>
            <c:strRef>
              <c:f>'Тешки кражби'!$A$3:$C$10</c:f>
              <c:strCache>
                <c:ptCount val="8"/>
                <c:pt idx="0">
                  <c:v>СВР Скопје</c:v>
                </c:pt>
                <c:pt idx="1">
                  <c:v>СВР Битола</c:v>
                </c:pt>
                <c:pt idx="2">
                  <c:v>СВР Велес</c:v>
                </c:pt>
                <c:pt idx="3">
                  <c:v>СВР Куманово</c:v>
                </c:pt>
                <c:pt idx="4">
                  <c:v>СВР Охрид</c:v>
                </c:pt>
                <c:pt idx="5">
                  <c:v>СВР Струмица</c:v>
                </c:pt>
                <c:pt idx="6">
                  <c:v>СВР Тетово</c:v>
                </c:pt>
                <c:pt idx="7">
                  <c:v>СВР Штип</c:v>
                </c:pt>
              </c:strCache>
            </c:strRef>
          </c:cat>
          <c:val>
            <c:numRef>
              <c:f>'Тешки кражби'!$E$3:$E$10</c:f>
              <c:numCache>
                <c:formatCode>General</c:formatCode>
                <c:ptCount val="8"/>
              </c:numCache>
            </c:numRef>
          </c:val>
        </c:ser>
        <c:ser>
          <c:idx val="2"/>
          <c:order val="2"/>
          <c:tx>
            <c:strRef>
              <c:f>'Тешки кражби'!$F$2</c:f>
              <c:strCache>
                <c:ptCount val="1"/>
                <c:pt idx="0">
                  <c:v>2023 година</c:v>
                </c:pt>
              </c:strCache>
            </c:strRef>
          </c:tx>
          <c:dLbls>
            <c:showVal val="1"/>
          </c:dLbls>
          <c:cat>
            <c:strRef>
              <c:f>'Тешки кражби'!$A$3:$C$10</c:f>
              <c:strCache>
                <c:ptCount val="8"/>
                <c:pt idx="0">
                  <c:v>СВР Скопје</c:v>
                </c:pt>
                <c:pt idx="1">
                  <c:v>СВР Битола</c:v>
                </c:pt>
                <c:pt idx="2">
                  <c:v>СВР Велес</c:v>
                </c:pt>
                <c:pt idx="3">
                  <c:v>СВР Куманово</c:v>
                </c:pt>
                <c:pt idx="4">
                  <c:v>СВР Охрид</c:v>
                </c:pt>
                <c:pt idx="5">
                  <c:v>СВР Струмица</c:v>
                </c:pt>
                <c:pt idx="6">
                  <c:v>СВР Тетово</c:v>
                </c:pt>
                <c:pt idx="7">
                  <c:v>СВР Штип</c:v>
                </c:pt>
              </c:strCache>
            </c:strRef>
          </c:cat>
          <c:val>
            <c:numRef>
              <c:f>'Тешки кражби'!$F$3:$F$10</c:f>
              <c:numCache>
                <c:formatCode>General</c:formatCode>
                <c:ptCount val="8"/>
                <c:pt idx="0" formatCode="#,##0">
                  <c:v>3888</c:v>
                </c:pt>
                <c:pt idx="1">
                  <c:v>773</c:v>
                </c:pt>
                <c:pt idx="2">
                  <c:v>283</c:v>
                </c:pt>
                <c:pt idx="3">
                  <c:v>311</c:v>
                </c:pt>
                <c:pt idx="4">
                  <c:v>248</c:v>
                </c:pt>
                <c:pt idx="5">
                  <c:v>235</c:v>
                </c:pt>
                <c:pt idx="6">
                  <c:v>285</c:v>
                </c:pt>
                <c:pt idx="7">
                  <c:v>552</c:v>
                </c:pt>
              </c:numCache>
            </c:numRef>
          </c:val>
        </c:ser>
        <c:ser>
          <c:idx val="3"/>
          <c:order val="3"/>
          <c:tx>
            <c:strRef>
              <c:f>'Тешки кражби'!$G$2</c:f>
              <c:strCache>
                <c:ptCount val="1"/>
              </c:strCache>
            </c:strRef>
          </c:tx>
          <c:cat>
            <c:strRef>
              <c:f>'Тешки кражби'!$A$3:$C$10</c:f>
              <c:strCache>
                <c:ptCount val="8"/>
                <c:pt idx="0">
                  <c:v>СВР Скопје</c:v>
                </c:pt>
                <c:pt idx="1">
                  <c:v>СВР Битола</c:v>
                </c:pt>
                <c:pt idx="2">
                  <c:v>СВР Велес</c:v>
                </c:pt>
                <c:pt idx="3">
                  <c:v>СВР Куманово</c:v>
                </c:pt>
                <c:pt idx="4">
                  <c:v>СВР Охрид</c:v>
                </c:pt>
                <c:pt idx="5">
                  <c:v>СВР Струмица</c:v>
                </c:pt>
                <c:pt idx="6">
                  <c:v>СВР Тетово</c:v>
                </c:pt>
                <c:pt idx="7">
                  <c:v>СВР Штип</c:v>
                </c:pt>
              </c:strCache>
            </c:strRef>
          </c:cat>
          <c:val>
            <c:numRef>
              <c:f>'Тешки кражби'!$G$3:$G$10</c:f>
              <c:numCache>
                <c:formatCode>General</c:formatCode>
                <c:ptCount val="8"/>
              </c:numCache>
            </c:numRef>
          </c:val>
        </c:ser>
        <c:axId val="91908352"/>
        <c:axId val="91930624"/>
      </c:barChart>
      <c:catAx>
        <c:axId val="91908352"/>
        <c:scaling>
          <c:orientation val="minMax"/>
        </c:scaling>
        <c:axPos val="b"/>
        <c:tickLblPos val="nextTo"/>
        <c:crossAx val="91930624"/>
        <c:crosses val="autoZero"/>
        <c:auto val="1"/>
        <c:lblAlgn val="ctr"/>
        <c:lblOffset val="100"/>
      </c:catAx>
      <c:valAx>
        <c:axId val="91930624"/>
        <c:scaling>
          <c:orientation val="minMax"/>
        </c:scaling>
        <c:axPos val="l"/>
        <c:majorGridlines/>
        <c:numFmt formatCode="0" sourceLinked="0"/>
        <c:tickLblPos val="nextTo"/>
        <c:crossAx val="91908352"/>
        <c:crosses val="autoZero"/>
        <c:crossBetween val="between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85022458739068763"/>
          <c:y val="0.38850503062117225"/>
          <c:w val="0.13755680297715825"/>
          <c:h val="0.16840897216136774"/>
        </c:manualLayout>
      </c:layout>
    </c:legend>
    <c:plotVisOnly val="1"/>
  </c:chart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mk-MK"/>
              <a:t>Кривични</a:t>
            </a:r>
            <a:r>
              <a:rPr lang="mk-MK" baseline="0"/>
              <a:t> дела тешка кражба</a:t>
            </a:r>
            <a:endParaRPr lang="en-US"/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0.28440112757305108"/>
          <c:y val="2.3557623478883366E-3"/>
          <c:w val="0.59539938757655297"/>
          <c:h val="0.99309871317285903"/>
        </c:manualLayout>
      </c:layout>
      <c:doughnutChart>
        <c:varyColors val="1"/>
        <c:ser>
          <c:idx val="0"/>
          <c:order val="0"/>
          <c:explosion val="25"/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-17.3%</a:t>
                    </a:r>
                  </a:p>
                </c:rich>
              </c:tx>
              <c:showVal val="1"/>
            </c:dLbl>
            <c:dLbl>
              <c:idx val="1"/>
              <c:layout>
                <c:manualLayout>
                  <c:x val="0"/>
                  <c:y val="-4.6332051966321546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-2.1%</a:t>
                    </a:r>
                  </a:p>
                </c:rich>
              </c:tx>
              <c:showVal val="1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-22.3%</a:t>
                    </a:r>
                  </a:p>
                </c:rich>
              </c:tx>
              <c:showVal val="1"/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-15.8%</a:t>
                    </a:r>
                  </a:p>
                </c:rich>
              </c:tx>
              <c:showVal val="1"/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/>
                      <a:t>6%</a:t>
                    </a:r>
                  </a:p>
                </c:rich>
              </c:tx>
              <c:showVal val="1"/>
            </c:dLbl>
            <c:dLbl>
              <c:idx val="5"/>
              <c:layout/>
              <c:tx>
                <c:rich>
                  <a:bodyPr/>
                  <a:lstStyle/>
                  <a:p>
                    <a:r>
                      <a:rPr lang="en-US"/>
                      <a:t>0.9%</a:t>
                    </a:r>
                  </a:p>
                </c:rich>
              </c:tx>
              <c:showVal val="1"/>
            </c:dLbl>
            <c:dLbl>
              <c:idx val="6"/>
              <c:layout/>
              <c:tx>
                <c:rich>
                  <a:bodyPr/>
                  <a:lstStyle/>
                  <a:p>
                    <a:r>
                      <a:rPr lang="en-US"/>
                      <a:t>-14.0%</a:t>
                    </a:r>
                  </a:p>
                </c:rich>
              </c:tx>
              <c:showVal val="1"/>
            </c:dLbl>
            <c:dLbl>
              <c:idx val="7"/>
              <c:layout/>
              <c:tx>
                <c:rich>
                  <a:bodyPr/>
                  <a:lstStyle/>
                  <a:p>
                    <a:r>
                      <a:rPr lang="en-US"/>
                      <a:t>13%</a:t>
                    </a:r>
                  </a:p>
                </c:rich>
              </c:tx>
              <c:showVal val="1"/>
            </c:dLbl>
            <c:showVal val="1"/>
            <c:showLeaderLines val="1"/>
          </c:dLbls>
          <c:cat>
            <c:strRef>
              <c:f>'Тешки кражби'!$A$3:$C$10</c:f>
              <c:strCache>
                <c:ptCount val="8"/>
                <c:pt idx="0">
                  <c:v>СВР Скопје</c:v>
                </c:pt>
                <c:pt idx="1">
                  <c:v>СВР Битола</c:v>
                </c:pt>
                <c:pt idx="2">
                  <c:v>СВР Велес</c:v>
                </c:pt>
                <c:pt idx="3">
                  <c:v>СВР Куманово</c:v>
                </c:pt>
                <c:pt idx="4">
                  <c:v>СВР Охрид</c:v>
                </c:pt>
                <c:pt idx="5">
                  <c:v>СВР Струмица</c:v>
                </c:pt>
                <c:pt idx="6">
                  <c:v>СВР Тетово</c:v>
                </c:pt>
                <c:pt idx="7">
                  <c:v>СВР Штип</c:v>
                </c:pt>
              </c:strCache>
            </c:strRef>
          </c:cat>
          <c:val>
            <c:numRef>
              <c:f>'Тешки кражби'!$H$3:$H$10</c:f>
              <c:numCache>
                <c:formatCode>[Color3]0.0%\↗;[Color10]\-0.0%\↓;0.0%</c:formatCode>
                <c:ptCount val="8"/>
                <c:pt idx="0">
                  <c:v>-0.17258230452674897</c:v>
                </c:pt>
                <c:pt idx="1">
                  <c:v>-2.0698576972833119E-2</c:v>
                </c:pt>
                <c:pt idx="2">
                  <c:v>-0.22261484098939929</c:v>
                </c:pt>
                <c:pt idx="3">
                  <c:v>-0.15755627009646303</c:v>
                </c:pt>
                <c:pt idx="4" formatCode="[Color3]0%\↗;[Color10]\-0%\↓;0%">
                  <c:v>6.0483870967741937E-2</c:v>
                </c:pt>
                <c:pt idx="5">
                  <c:v>8.5106382978723406E-3</c:v>
                </c:pt>
                <c:pt idx="6">
                  <c:v>-0.14035087719298245</c:v>
                </c:pt>
                <c:pt idx="7" formatCode="[Color3]0%\↗;[Color10]\-0%\↓;0%">
                  <c:v>0.13043478260869565</c:v>
                </c:pt>
              </c:numCache>
            </c:numRef>
          </c:val>
        </c:ser>
        <c:ser>
          <c:idx val="1"/>
          <c:order val="1"/>
          <c:explosion val="25"/>
          <c:cat>
            <c:strRef>
              <c:f>'Тешки кражби'!$A$3:$C$10</c:f>
              <c:strCache>
                <c:ptCount val="8"/>
                <c:pt idx="0">
                  <c:v>СВР Скопје</c:v>
                </c:pt>
                <c:pt idx="1">
                  <c:v>СВР Битола</c:v>
                </c:pt>
                <c:pt idx="2">
                  <c:v>СВР Велес</c:v>
                </c:pt>
                <c:pt idx="3">
                  <c:v>СВР Куманово</c:v>
                </c:pt>
                <c:pt idx="4">
                  <c:v>СВР Охрид</c:v>
                </c:pt>
                <c:pt idx="5">
                  <c:v>СВР Струмица</c:v>
                </c:pt>
                <c:pt idx="6">
                  <c:v>СВР Тетово</c:v>
                </c:pt>
                <c:pt idx="7">
                  <c:v>СВР Штип</c:v>
                </c:pt>
              </c:strCache>
            </c:strRef>
          </c:cat>
          <c:val>
            <c:numRef>
              <c:f>'Тешки кражби'!$I$3:$I$10</c:f>
              <c:numCache>
                <c:formatCode>[Color3]0.0%\↗;[Color10]\-0.0%\↓;0.0%</c:formatCode>
                <c:ptCount val="8"/>
              </c:numCache>
            </c:numRef>
          </c:val>
        </c:ser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10173753280839895"/>
          <c:y val="0.20657127128219041"/>
          <c:w val="0.23096862145963096"/>
          <c:h val="0.67025478615569256"/>
        </c:manualLayout>
      </c:layout>
    </c:legend>
    <c:plotVisOnly val="1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mk-MK"/>
              <a:t>Корупција</a:t>
            </a:r>
            <a:endParaRPr lang="en-US"/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5.8351714851370536E-2"/>
          <c:y val="0.14641822389750647"/>
          <c:w val="0.89057411845258472"/>
          <c:h val="0.5684510305947823"/>
        </c:manualLayout>
      </c:layout>
      <c:barChart>
        <c:barDir val="col"/>
        <c:grouping val="clustered"/>
        <c:ser>
          <c:idx val="0"/>
          <c:order val="0"/>
          <c:cat>
            <c:strRef>
              <c:f>Корупција!$A$6:$A$14</c:f>
              <c:strCache>
                <c:ptCount val="9"/>
                <c:pt idx="0">
                  <c:v>СВР Скопје</c:v>
                </c:pt>
                <c:pt idx="1">
                  <c:v>СВР Битола</c:v>
                </c:pt>
                <c:pt idx="2">
                  <c:v>СВР Велес</c:v>
                </c:pt>
                <c:pt idx="3">
                  <c:v>СВР Куманово</c:v>
                </c:pt>
                <c:pt idx="4">
                  <c:v>СВР Охрид</c:v>
                </c:pt>
                <c:pt idx="5">
                  <c:v>СВР Струмица</c:v>
                </c:pt>
                <c:pt idx="6">
                  <c:v>СВР Тетово</c:v>
                </c:pt>
                <c:pt idx="7">
                  <c:v>СВР Штип</c:v>
                </c:pt>
                <c:pt idx="8">
                  <c:v>ОСОСК</c:v>
                </c:pt>
              </c:strCache>
            </c:strRef>
          </c:cat>
          <c:val>
            <c:numRef>
              <c:f>Корупција!$B$6:$B$14</c:f>
              <c:numCache>
                <c:formatCode>General</c:formatCode>
                <c:ptCount val="9"/>
              </c:numCache>
            </c:numRef>
          </c:val>
        </c:ser>
        <c:ser>
          <c:idx val="1"/>
          <c:order val="1"/>
          <c:cat>
            <c:strRef>
              <c:f>Корупција!$A$6:$A$14</c:f>
              <c:strCache>
                <c:ptCount val="9"/>
                <c:pt idx="0">
                  <c:v>СВР Скопје</c:v>
                </c:pt>
                <c:pt idx="1">
                  <c:v>СВР Битола</c:v>
                </c:pt>
                <c:pt idx="2">
                  <c:v>СВР Велес</c:v>
                </c:pt>
                <c:pt idx="3">
                  <c:v>СВР Куманово</c:v>
                </c:pt>
                <c:pt idx="4">
                  <c:v>СВР Охрид</c:v>
                </c:pt>
                <c:pt idx="5">
                  <c:v>СВР Струмица</c:v>
                </c:pt>
                <c:pt idx="6">
                  <c:v>СВР Тетово</c:v>
                </c:pt>
                <c:pt idx="7">
                  <c:v>СВР Штип</c:v>
                </c:pt>
                <c:pt idx="8">
                  <c:v>ОСОСК</c:v>
                </c:pt>
              </c:strCache>
            </c:strRef>
          </c:cat>
          <c:val>
            <c:numRef>
              <c:f>Корупција!$C$6:$C$14</c:f>
              <c:numCache>
                <c:formatCode>General</c:formatCode>
                <c:ptCount val="9"/>
              </c:numCache>
            </c:numRef>
          </c:val>
        </c:ser>
        <c:ser>
          <c:idx val="2"/>
          <c:order val="2"/>
          <c:cat>
            <c:strRef>
              <c:f>Корупција!$A$6:$A$14</c:f>
              <c:strCache>
                <c:ptCount val="9"/>
                <c:pt idx="0">
                  <c:v>СВР Скопје</c:v>
                </c:pt>
                <c:pt idx="1">
                  <c:v>СВР Битола</c:v>
                </c:pt>
                <c:pt idx="2">
                  <c:v>СВР Велес</c:v>
                </c:pt>
                <c:pt idx="3">
                  <c:v>СВР Куманово</c:v>
                </c:pt>
                <c:pt idx="4">
                  <c:v>СВР Охрид</c:v>
                </c:pt>
                <c:pt idx="5">
                  <c:v>СВР Струмица</c:v>
                </c:pt>
                <c:pt idx="6">
                  <c:v>СВР Тетово</c:v>
                </c:pt>
                <c:pt idx="7">
                  <c:v>СВР Штип</c:v>
                </c:pt>
                <c:pt idx="8">
                  <c:v>ОСОСК</c:v>
                </c:pt>
              </c:strCache>
            </c:strRef>
          </c:cat>
          <c:val>
            <c:numRef>
              <c:f>Корупција!$D$6:$D$14</c:f>
              <c:numCache>
                <c:formatCode>General</c:formatCode>
                <c:ptCount val="9"/>
              </c:numCache>
            </c:numRef>
          </c:val>
        </c:ser>
        <c:ser>
          <c:idx val="3"/>
          <c:order val="3"/>
          <c:tx>
            <c:v>2024 година</c:v>
          </c:tx>
          <c:dLbls>
            <c:dLbl>
              <c:idx val="4"/>
              <c:layout>
                <c:manualLayout>
                  <c:x val="-1.9184655176216414E-3"/>
                  <c:y val="2.044989775051136E-2"/>
                </c:manualLayout>
              </c:layout>
              <c:showVal val="1"/>
            </c:dLbl>
            <c:dLbl>
              <c:idx val="8"/>
              <c:layout>
                <c:manualLayout>
                  <c:x val="0"/>
                  <c:y val="-2.0449897750511342E-2"/>
                </c:manualLayout>
              </c:layout>
              <c:showVal val="1"/>
            </c:dLbl>
            <c:showVal val="1"/>
          </c:dLbls>
          <c:cat>
            <c:strRef>
              <c:f>Корупција!$A$6:$A$14</c:f>
              <c:strCache>
                <c:ptCount val="9"/>
                <c:pt idx="0">
                  <c:v>СВР Скопје</c:v>
                </c:pt>
                <c:pt idx="1">
                  <c:v>СВР Битола</c:v>
                </c:pt>
                <c:pt idx="2">
                  <c:v>СВР Велес</c:v>
                </c:pt>
                <c:pt idx="3">
                  <c:v>СВР Куманово</c:v>
                </c:pt>
                <c:pt idx="4">
                  <c:v>СВР Охрид</c:v>
                </c:pt>
                <c:pt idx="5">
                  <c:v>СВР Струмица</c:v>
                </c:pt>
                <c:pt idx="6">
                  <c:v>СВР Тетово</c:v>
                </c:pt>
                <c:pt idx="7">
                  <c:v>СВР Штип</c:v>
                </c:pt>
                <c:pt idx="8">
                  <c:v>ОСОСК</c:v>
                </c:pt>
              </c:strCache>
            </c:strRef>
          </c:cat>
          <c:val>
            <c:numRef>
              <c:f>Корупција!$E$6:$E$14</c:f>
              <c:numCache>
                <c:formatCode>General</c:formatCode>
                <c:ptCount val="9"/>
                <c:pt idx="0">
                  <c:v>28</c:v>
                </c:pt>
                <c:pt idx="1">
                  <c:v>12</c:v>
                </c:pt>
                <c:pt idx="2">
                  <c:v>1</c:v>
                </c:pt>
                <c:pt idx="3">
                  <c:v>17</c:v>
                </c:pt>
                <c:pt idx="4">
                  <c:v>21</c:v>
                </c:pt>
                <c:pt idx="5">
                  <c:v>18</c:v>
                </c:pt>
                <c:pt idx="6">
                  <c:v>10</c:v>
                </c:pt>
                <c:pt idx="7">
                  <c:v>43</c:v>
                </c:pt>
                <c:pt idx="8">
                  <c:v>56</c:v>
                </c:pt>
              </c:numCache>
            </c:numRef>
          </c:val>
        </c:ser>
        <c:ser>
          <c:idx val="4"/>
          <c:order val="4"/>
          <c:tx>
            <c:v>2023 година</c:v>
          </c:tx>
          <c:dLbls>
            <c:dLbl>
              <c:idx val="4"/>
              <c:layout>
                <c:manualLayout>
                  <c:x val="7.6738620704866348E-3"/>
                  <c:y val="2.4539877300613633E-2"/>
                </c:manualLayout>
              </c:layout>
              <c:showVal val="1"/>
            </c:dLbl>
            <c:showVal val="1"/>
          </c:dLbls>
          <c:cat>
            <c:strRef>
              <c:f>Корупција!$A$6:$A$14</c:f>
              <c:strCache>
                <c:ptCount val="9"/>
                <c:pt idx="0">
                  <c:v>СВР Скопје</c:v>
                </c:pt>
                <c:pt idx="1">
                  <c:v>СВР Битола</c:v>
                </c:pt>
                <c:pt idx="2">
                  <c:v>СВР Велес</c:v>
                </c:pt>
                <c:pt idx="3">
                  <c:v>СВР Куманово</c:v>
                </c:pt>
                <c:pt idx="4">
                  <c:v>СВР Охрид</c:v>
                </c:pt>
                <c:pt idx="5">
                  <c:v>СВР Струмица</c:v>
                </c:pt>
                <c:pt idx="6">
                  <c:v>СВР Тетово</c:v>
                </c:pt>
                <c:pt idx="7">
                  <c:v>СВР Штип</c:v>
                </c:pt>
                <c:pt idx="8">
                  <c:v>ОСОСК</c:v>
                </c:pt>
              </c:strCache>
            </c:strRef>
          </c:cat>
          <c:val>
            <c:numRef>
              <c:f>Корупција!$F$6:$F$14</c:f>
              <c:numCache>
                <c:formatCode>General</c:formatCode>
                <c:ptCount val="9"/>
                <c:pt idx="0">
                  <c:v>13</c:v>
                </c:pt>
                <c:pt idx="1">
                  <c:v>17</c:v>
                </c:pt>
                <c:pt idx="2">
                  <c:v>11</c:v>
                </c:pt>
                <c:pt idx="3">
                  <c:v>8</c:v>
                </c:pt>
                <c:pt idx="4">
                  <c:v>23</c:v>
                </c:pt>
                <c:pt idx="5">
                  <c:v>12</c:v>
                </c:pt>
                <c:pt idx="6">
                  <c:v>18</c:v>
                </c:pt>
                <c:pt idx="7">
                  <c:v>13</c:v>
                </c:pt>
                <c:pt idx="8">
                  <c:v>11</c:v>
                </c:pt>
              </c:numCache>
            </c:numRef>
          </c:val>
        </c:ser>
        <c:gapWidth val="40"/>
        <c:overlap val="-41"/>
        <c:axId val="92078080"/>
        <c:axId val="92079616"/>
      </c:barChart>
      <c:catAx>
        <c:axId val="92078080"/>
        <c:scaling>
          <c:orientation val="minMax"/>
        </c:scaling>
        <c:axPos val="b"/>
        <c:numFmt formatCode="General" sourceLinked="1"/>
        <c:tickLblPos val="nextTo"/>
        <c:crossAx val="92079616"/>
        <c:crosses val="autoZero"/>
        <c:auto val="1"/>
        <c:lblAlgn val="ctr"/>
        <c:lblOffset val="100"/>
      </c:catAx>
      <c:valAx>
        <c:axId val="92079616"/>
        <c:scaling>
          <c:orientation val="minMax"/>
        </c:scaling>
        <c:axPos val="l"/>
        <c:majorGridlines/>
        <c:numFmt formatCode="General" sourceLinked="1"/>
        <c:tickLblPos val="nextTo"/>
        <c:crossAx val="92078080"/>
        <c:crosses val="autoZero"/>
        <c:crossBetween val="between"/>
      </c:valAx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37364703868538174"/>
          <c:y val="0.91304988969970502"/>
          <c:w val="0.32077066501758122"/>
          <c:h val="8.0249624965012464E-2"/>
        </c:manualLayout>
      </c:layout>
    </c:legend>
    <c:plotVisOnly val="1"/>
  </c:chart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mk-MK"/>
              <a:t>Корупција</a:t>
            </a:r>
            <a:endParaRPr lang="en-US"/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0.36960039370078812"/>
          <c:y val="0.18996141306191808"/>
          <c:w val="0.44398140857392826"/>
          <c:h val="0.74054050898860069"/>
        </c:manualLayout>
      </c:layout>
      <c:doughnutChart>
        <c:varyColors val="1"/>
        <c:ser>
          <c:idx val="0"/>
          <c:order val="0"/>
          <c:explosion val="25"/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115.4%</a:t>
                    </a:r>
                  </a:p>
                </c:rich>
              </c:tx>
              <c:showVal val="1"/>
            </c:dLbl>
            <c:dLbl>
              <c:idx val="1"/>
              <c:layout>
                <c:manualLayout>
                  <c:x val="7.5000000000000011E-2"/>
                  <c:y val="-6.486487275284988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-29.4%</a:t>
                    </a:r>
                  </a:p>
                </c:rich>
              </c:tx>
              <c:showVal val="1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-90.9%</a:t>
                    </a:r>
                  </a:p>
                </c:rich>
              </c:tx>
              <c:showVal val="1"/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112.5%</a:t>
                    </a:r>
                  </a:p>
                </c:rich>
              </c:tx>
              <c:showVal val="1"/>
            </c:dLbl>
            <c:dLbl>
              <c:idx val="4"/>
              <c:layout>
                <c:manualLayout>
                  <c:x val="7.7777777777777779E-2"/>
                  <c:y val="3.243243637642503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-8.7%</a:t>
                    </a:r>
                  </a:p>
                </c:rich>
              </c:tx>
              <c:showVal val="1"/>
            </c:dLbl>
            <c:dLbl>
              <c:idx val="5"/>
              <c:layout/>
              <c:tx>
                <c:rich>
                  <a:bodyPr/>
                  <a:lstStyle/>
                  <a:p>
                    <a:r>
                      <a:rPr lang="en-US"/>
                      <a:t>50%</a:t>
                    </a:r>
                  </a:p>
                </c:rich>
              </c:tx>
              <c:showVal val="1"/>
            </c:dLbl>
            <c:dLbl>
              <c:idx val="6"/>
              <c:layout/>
              <c:tx>
                <c:rich>
                  <a:bodyPr/>
                  <a:lstStyle/>
                  <a:p>
                    <a:r>
                      <a:rPr lang="en-US"/>
                      <a:t>-44.4%</a:t>
                    </a:r>
                  </a:p>
                </c:rich>
              </c:tx>
              <c:showVal val="1"/>
            </c:dLbl>
            <c:dLbl>
              <c:idx val="7"/>
              <c:layout/>
              <c:tx>
                <c:rich>
                  <a:bodyPr/>
                  <a:lstStyle/>
                  <a:p>
                    <a:r>
                      <a:rPr lang="en-US"/>
                      <a:t>230.8%</a:t>
                    </a:r>
                  </a:p>
                </c:rich>
              </c:tx>
              <c:showVal val="1"/>
            </c:dLbl>
            <c:dLbl>
              <c:idx val="8"/>
              <c:layout/>
              <c:tx>
                <c:rich>
                  <a:bodyPr/>
                  <a:lstStyle/>
                  <a:p>
                    <a:r>
                      <a:rPr lang="en-US"/>
                      <a:t>409.1%</a:t>
                    </a:r>
                  </a:p>
                </c:rich>
              </c:tx>
              <c:showVal val="1"/>
            </c:dLbl>
            <c:showVal val="1"/>
            <c:showLeaderLines val="1"/>
          </c:dLbls>
          <c:cat>
            <c:strRef>
              <c:f>Корупција!$A$6:$D$14</c:f>
              <c:strCache>
                <c:ptCount val="9"/>
                <c:pt idx="0">
                  <c:v>СВР Скопје</c:v>
                </c:pt>
                <c:pt idx="1">
                  <c:v>СВР Битола</c:v>
                </c:pt>
                <c:pt idx="2">
                  <c:v>СВР Велес</c:v>
                </c:pt>
                <c:pt idx="3">
                  <c:v>СВР Куманово</c:v>
                </c:pt>
                <c:pt idx="4">
                  <c:v>СВР Охрид</c:v>
                </c:pt>
                <c:pt idx="5">
                  <c:v>СВР Струмица</c:v>
                </c:pt>
                <c:pt idx="6">
                  <c:v>СВР Тетово</c:v>
                </c:pt>
                <c:pt idx="7">
                  <c:v>СВР Штип</c:v>
                </c:pt>
                <c:pt idx="8">
                  <c:v>ОСОСК</c:v>
                </c:pt>
              </c:strCache>
            </c:strRef>
          </c:cat>
          <c:val>
            <c:numRef>
              <c:f>Корупција!$G$6:$G$14</c:f>
              <c:numCache>
                <c:formatCode>[Color3]0.0%\↗;[Color10]\-0.0%\↓;0.0%</c:formatCode>
                <c:ptCount val="9"/>
                <c:pt idx="0">
                  <c:v>1.1538461538461537</c:v>
                </c:pt>
                <c:pt idx="1">
                  <c:v>-0.29411764705882354</c:v>
                </c:pt>
                <c:pt idx="2">
                  <c:v>-0.90909090909090906</c:v>
                </c:pt>
                <c:pt idx="3">
                  <c:v>1.125</c:v>
                </c:pt>
                <c:pt idx="4">
                  <c:v>-8.6956521739130432E-2</c:v>
                </c:pt>
                <c:pt idx="5" formatCode="[Color3]0%\↗;[Color10]\-0%\↓;0%">
                  <c:v>0.5</c:v>
                </c:pt>
                <c:pt idx="6">
                  <c:v>-0.44444444444444442</c:v>
                </c:pt>
                <c:pt idx="7">
                  <c:v>2.3076923076923075</c:v>
                </c:pt>
                <c:pt idx="8">
                  <c:v>4.0909090909090908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4.3404199475065547E-2"/>
          <c:y val="0.16931373475374514"/>
          <c:w val="0.20912028285173118"/>
          <c:h val="0.72871424874503499"/>
        </c:manualLayout>
      </c:layout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mk-MK"/>
              <a:t>Сторители</a:t>
            </a:r>
            <a:endParaRPr lang="en-US"/>
          </a:p>
        </c:rich>
      </c:tx>
      <c:layout>
        <c:manualLayout>
          <c:xMode val="edge"/>
          <c:yMode val="edge"/>
          <c:x val="0.4189103600913735"/>
          <c:y val="4.1982511143684592E-2"/>
        </c:manualLayout>
      </c:layout>
      <c:overlay val="1"/>
    </c:title>
    <c:plotArea>
      <c:layout>
        <c:manualLayout>
          <c:layoutTarget val="inner"/>
          <c:xMode val="edge"/>
          <c:yMode val="edge"/>
          <c:x val="6.7592050993625974E-2"/>
          <c:y val="0.16245348506539498"/>
          <c:w val="0.90556892523907651"/>
          <c:h val="0.589237215788179"/>
        </c:manualLayout>
      </c:layout>
      <c:barChart>
        <c:barDir val="col"/>
        <c:grouping val="clustered"/>
        <c:ser>
          <c:idx val="0"/>
          <c:order val="0"/>
          <c:tx>
            <c:v>2024 година</c:v>
          </c:tx>
          <c:dLbls>
            <c:showVal val="1"/>
          </c:dLbls>
          <c:cat>
            <c:strRef>
              <c:f>Корупција!$A$6:$D$14</c:f>
              <c:strCache>
                <c:ptCount val="9"/>
                <c:pt idx="0">
                  <c:v>СВР Скопје</c:v>
                </c:pt>
                <c:pt idx="1">
                  <c:v>СВР Битола</c:v>
                </c:pt>
                <c:pt idx="2">
                  <c:v>СВР Велес</c:v>
                </c:pt>
                <c:pt idx="3">
                  <c:v>СВР Куманово</c:v>
                </c:pt>
                <c:pt idx="4">
                  <c:v>СВР Охрид</c:v>
                </c:pt>
                <c:pt idx="5">
                  <c:v>СВР Струмица</c:v>
                </c:pt>
                <c:pt idx="6">
                  <c:v>СВР Тетово</c:v>
                </c:pt>
                <c:pt idx="7">
                  <c:v>СВР Штип</c:v>
                </c:pt>
                <c:pt idx="8">
                  <c:v>ОСОСК</c:v>
                </c:pt>
              </c:strCache>
            </c:strRef>
          </c:cat>
          <c:val>
            <c:numRef>
              <c:f>Корупција!$H$6:$H$14</c:f>
              <c:numCache>
                <c:formatCode>General</c:formatCode>
                <c:ptCount val="9"/>
                <c:pt idx="0">
                  <c:v>65</c:v>
                </c:pt>
                <c:pt idx="1">
                  <c:v>14</c:v>
                </c:pt>
                <c:pt idx="2">
                  <c:v>2</c:v>
                </c:pt>
                <c:pt idx="3">
                  <c:v>42</c:v>
                </c:pt>
                <c:pt idx="4">
                  <c:v>29</c:v>
                </c:pt>
                <c:pt idx="5">
                  <c:v>25</c:v>
                </c:pt>
                <c:pt idx="6">
                  <c:v>12</c:v>
                </c:pt>
                <c:pt idx="7">
                  <c:v>44</c:v>
                </c:pt>
                <c:pt idx="8">
                  <c:v>130</c:v>
                </c:pt>
              </c:numCache>
            </c:numRef>
          </c:val>
        </c:ser>
        <c:ser>
          <c:idx val="1"/>
          <c:order val="1"/>
          <c:tx>
            <c:v>2023 година</c:v>
          </c:tx>
          <c:dLbls>
            <c:showVal val="1"/>
          </c:dLbls>
          <c:cat>
            <c:strRef>
              <c:f>Корупција!$A$6:$D$14</c:f>
              <c:strCache>
                <c:ptCount val="9"/>
                <c:pt idx="0">
                  <c:v>СВР Скопје</c:v>
                </c:pt>
                <c:pt idx="1">
                  <c:v>СВР Битола</c:v>
                </c:pt>
                <c:pt idx="2">
                  <c:v>СВР Велес</c:v>
                </c:pt>
                <c:pt idx="3">
                  <c:v>СВР Куманово</c:v>
                </c:pt>
                <c:pt idx="4">
                  <c:v>СВР Охрид</c:v>
                </c:pt>
                <c:pt idx="5">
                  <c:v>СВР Струмица</c:v>
                </c:pt>
                <c:pt idx="6">
                  <c:v>СВР Тетово</c:v>
                </c:pt>
                <c:pt idx="7">
                  <c:v>СВР Штип</c:v>
                </c:pt>
                <c:pt idx="8">
                  <c:v>ОСОСК</c:v>
                </c:pt>
              </c:strCache>
            </c:strRef>
          </c:cat>
          <c:val>
            <c:numRef>
              <c:f>Корупција!$I$6:$I$14</c:f>
              <c:numCache>
                <c:formatCode>General</c:formatCode>
                <c:ptCount val="9"/>
                <c:pt idx="0">
                  <c:v>16</c:v>
                </c:pt>
                <c:pt idx="1">
                  <c:v>18</c:v>
                </c:pt>
                <c:pt idx="2">
                  <c:v>23</c:v>
                </c:pt>
                <c:pt idx="3">
                  <c:v>10</c:v>
                </c:pt>
                <c:pt idx="4">
                  <c:v>28</c:v>
                </c:pt>
                <c:pt idx="5">
                  <c:v>14</c:v>
                </c:pt>
                <c:pt idx="6">
                  <c:v>28</c:v>
                </c:pt>
                <c:pt idx="7">
                  <c:v>16</c:v>
                </c:pt>
                <c:pt idx="8">
                  <c:v>32</c:v>
                </c:pt>
              </c:numCache>
            </c:numRef>
          </c:val>
        </c:ser>
        <c:gapWidth val="50"/>
        <c:overlap val="-22"/>
        <c:axId val="92178688"/>
        <c:axId val="92192768"/>
      </c:barChart>
      <c:catAx>
        <c:axId val="92178688"/>
        <c:scaling>
          <c:orientation val="minMax"/>
        </c:scaling>
        <c:axPos val="b"/>
        <c:tickLblPos val="nextTo"/>
        <c:crossAx val="92192768"/>
        <c:crosses val="autoZero"/>
        <c:auto val="1"/>
        <c:lblAlgn val="ctr"/>
        <c:lblOffset val="100"/>
      </c:catAx>
      <c:valAx>
        <c:axId val="92192768"/>
        <c:scaling>
          <c:orientation val="minMax"/>
        </c:scaling>
        <c:axPos val="l"/>
        <c:majorGridlines/>
        <c:numFmt formatCode="General" sourceLinked="1"/>
        <c:tickLblPos val="nextTo"/>
        <c:crossAx val="92178688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161926</xdr:colOff>
      <xdr:row>14</xdr:row>
      <xdr:rowOff>38099</xdr:rowOff>
    </xdr:from>
    <xdr:to>
      <xdr:col>5</xdr:col>
      <xdr:colOff>228601</xdr:colOff>
      <xdr:row>33</xdr:row>
      <xdr:rowOff>122465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490425</xdr:colOff>
      <xdr:row>14</xdr:row>
      <xdr:rowOff>23434</xdr:rowOff>
    </xdr:from>
    <xdr:to>
      <xdr:col>12</xdr:col>
      <xdr:colOff>666749</xdr:colOff>
      <xdr:row>34</xdr:row>
      <xdr:rowOff>13606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35</xdr:row>
      <xdr:rowOff>119063</xdr:rowOff>
    </xdr:from>
    <xdr:to>
      <xdr:col>5</xdr:col>
      <xdr:colOff>870858</xdr:colOff>
      <xdr:row>55</xdr:row>
      <xdr:rowOff>68036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1130905</xdr:colOff>
      <xdr:row>35</xdr:row>
      <xdr:rowOff>157237</xdr:rowOff>
    </xdr:from>
    <xdr:to>
      <xdr:col>12</xdr:col>
      <xdr:colOff>857250</xdr:colOff>
      <xdr:row>55</xdr:row>
      <xdr:rowOff>68035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642939</xdr:colOff>
      <xdr:row>14</xdr:row>
      <xdr:rowOff>83343</xdr:rowOff>
    </xdr:from>
    <xdr:to>
      <xdr:col>12</xdr:col>
      <xdr:colOff>488156</xdr:colOff>
      <xdr:row>30</xdr:row>
      <xdr:rowOff>154779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345282</xdr:colOff>
      <xdr:row>32</xdr:row>
      <xdr:rowOff>1</xdr:rowOff>
    </xdr:from>
    <xdr:to>
      <xdr:col>7</xdr:col>
      <xdr:colOff>345281</xdr:colOff>
      <xdr:row>51</xdr:row>
      <xdr:rowOff>59532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666750</xdr:colOff>
      <xdr:row>32</xdr:row>
      <xdr:rowOff>23813</xdr:rowOff>
    </xdr:from>
    <xdr:to>
      <xdr:col>12</xdr:col>
      <xdr:colOff>535781</xdr:colOff>
      <xdr:row>50</xdr:row>
      <xdr:rowOff>166687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202405</xdr:colOff>
      <xdr:row>14</xdr:row>
      <xdr:rowOff>83344</xdr:rowOff>
    </xdr:from>
    <xdr:to>
      <xdr:col>7</xdr:col>
      <xdr:colOff>416719</xdr:colOff>
      <xdr:row>30</xdr:row>
      <xdr:rowOff>119062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257175</xdr:colOff>
      <xdr:row>7</xdr:row>
      <xdr:rowOff>47625</xdr:rowOff>
    </xdr:from>
    <xdr:to>
      <xdr:col>16</xdr:col>
      <xdr:colOff>645583</xdr:colOff>
      <xdr:row>25</xdr:row>
      <xdr:rowOff>21166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95249</xdr:colOff>
      <xdr:row>7</xdr:row>
      <xdr:rowOff>28575</xdr:rowOff>
    </xdr:from>
    <xdr:to>
      <xdr:col>10</xdr:col>
      <xdr:colOff>179915</xdr:colOff>
      <xdr:row>25</xdr:row>
      <xdr:rowOff>31751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76728</xdr:colOff>
      <xdr:row>17</xdr:row>
      <xdr:rowOff>2642</xdr:rowOff>
    </xdr:from>
    <xdr:to>
      <xdr:col>13</xdr:col>
      <xdr:colOff>392906</xdr:colOff>
      <xdr:row>44</xdr:row>
      <xdr:rowOff>79374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65315</xdr:colOff>
      <xdr:row>16</xdr:row>
      <xdr:rowOff>177800</xdr:rowOff>
    </xdr:from>
    <xdr:to>
      <xdr:col>31</xdr:col>
      <xdr:colOff>279401</xdr:colOff>
      <xdr:row>44</xdr:row>
      <xdr:rowOff>114299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7709</xdr:colOff>
      <xdr:row>21</xdr:row>
      <xdr:rowOff>20863</xdr:rowOff>
    </xdr:from>
    <xdr:to>
      <xdr:col>38</xdr:col>
      <xdr:colOff>142875</xdr:colOff>
      <xdr:row>52</xdr:row>
      <xdr:rowOff>119063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123824</xdr:colOff>
      <xdr:row>20</xdr:row>
      <xdr:rowOff>133349</xdr:rowOff>
    </xdr:from>
    <xdr:to>
      <xdr:col>22</xdr:col>
      <xdr:colOff>346074</xdr:colOff>
      <xdr:row>52</xdr:row>
      <xdr:rowOff>180974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95247</xdr:colOff>
      <xdr:row>14</xdr:row>
      <xdr:rowOff>38098</xdr:rowOff>
    </xdr:from>
    <xdr:to>
      <xdr:col>8</xdr:col>
      <xdr:colOff>285749</xdr:colOff>
      <xdr:row>32</xdr:row>
      <xdr:rowOff>142874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547687</xdr:colOff>
      <xdr:row>14</xdr:row>
      <xdr:rowOff>74084</xdr:rowOff>
    </xdr:from>
    <xdr:to>
      <xdr:col>19</xdr:col>
      <xdr:colOff>107156</xdr:colOff>
      <xdr:row>32</xdr:row>
      <xdr:rowOff>119063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85722</xdr:colOff>
      <xdr:row>12</xdr:row>
      <xdr:rowOff>9524</xdr:rowOff>
    </xdr:from>
    <xdr:to>
      <xdr:col>8</xdr:col>
      <xdr:colOff>571500</xdr:colOff>
      <xdr:row>26</xdr:row>
      <xdr:rowOff>179916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16671</xdr:colOff>
      <xdr:row>12</xdr:row>
      <xdr:rowOff>35718</xdr:rowOff>
    </xdr:from>
    <xdr:to>
      <xdr:col>18</xdr:col>
      <xdr:colOff>428625</xdr:colOff>
      <xdr:row>27</xdr:row>
      <xdr:rowOff>31749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178859</xdr:colOff>
      <xdr:row>29</xdr:row>
      <xdr:rowOff>9525</xdr:rowOff>
    </xdr:from>
    <xdr:to>
      <xdr:col>8</xdr:col>
      <xdr:colOff>613833</xdr:colOff>
      <xdr:row>46</xdr:row>
      <xdr:rowOff>127001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226216</xdr:colOff>
      <xdr:row>18</xdr:row>
      <xdr:rowOff>35721</xdr:rowOff>
    </xdr:from>
    <xdr:to>
      <xdr:col>8</xdr:col>
      <xdr:colOff>416718</xdr:colOff>
      <xdr:row>37</xdr:row>
      <xdr:rowOff>11907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738187</xdr:colOff>
      <xdr:row>18</xdr:row>
      <xdr:rowOff>35720</xdr:rowOff>
    </xdr:from>
    <xdr:to>
      <xdr:col>18</xdr:col>
      <xdr:colOff>476250</xdr:colOff>
      <xdr:row>37</xdr:row>
      <xdr:rowOff>23811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327024</xdr:colOff>
      <xdr:row>12</xdr:row>
      <xdr:rowOff>138642</xdr:rowOff>
    </xdr:from>
    <xdr:to>
      <xdr:col>8</xdr:col>
      <xdr:colOff>688975</xdr:colOff>
      <xdr:row>27</xdr:row>
      <xdr:rowOff>167217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74082</xdr:colOff>
      <xdr:row>12</xdr:row>
      <xdr:rowOff>116417</xdr:rowOff>
    </xdr:from>
    <xdr:to>
      <xdr:col>15</xdr:col>
      <xdr:colOff>656166</xdr:colOff>
      <xdr:row>28</xdr:row>
      <xdr:rowOff>31751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127001</xdr:colOff>
      <xdr:row>16</xdr:row>
      <xdr:rowOff>38100</xdr:rowOff>
    </xdr:from>
    <xdr:to>
      <xdr:col>7</xdr:col>
      <xdr:colOff>105834</xdr:colOff>
      <xdr:row>32</xdr:row>
      <xdr:rowOff>21166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222250</xdr:colOff>
      <xdr:row>16</xdr:row>
      <xdr:rowOff>74083</xdr:rowOff>
    </xdr:from>
    <xdr:to>
      <xdr:col>12</xdr:col>
      <xdr:colOff>476249</xdr:colOff>
      <xdr:row>32</xdr:row>
      <xdr:rowOff>31750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148168</xdr:colOff>
      <xdr:row>33</xdr:row>
      <xdr:rowOff>52916</xdr:rowOff>
    </xdr:from>
    <xdr:to>
      <xdr:col>7</xdr:col>
      <xdr:colOff>127001</xdr:colOff>
      <xdr:row>53</xdr:row>
      <xdr:rowOff>84665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zoomScale="70" zoomScaleNormal="70" workbookViewId="0">
      <selection activeCell="P23" sqref="P23"/>
    </sheetView>
  </sheetViews>
  <sheetFormatPr defaultRowHeight="14.25"/>
  <cols>
    <col min="1" max="1" width="10.125" customWidth="1"/>
    <col min="2" max="2" width="19.5" customWidth="1"/>
    <col min="3" max="3" width="16.5" customWidth="1"/>
    <col min="4" max="4" width="15.75" customWidth="1"/>
    <col min="5" max="5" width="15" customWidth="1"/>
    <col min="6" max="6" width="20.375" customWidth="1"/>
    <col min="7" max="7" width="14" customWidth="1"/>
    <col min="8" max="8" width="15.125" customWidth="1"/>
    <col min="9" max="9" width="18.375" customWidth="1"/>
    <col min="13" max="13" width="11.5" customWidth="1"/>
  </cols>
  <sheetData>
    <row r="1" spans="1:13" ht="18" customHeight="1">
      <c r="A1" s="58" t="s">
        <v>38</v>
      </c>
      <c r="B1" s="59"/>
      <c r="C1" s="60" t="s">
        <v>6</v>
      </c>
      <c r="D1" s="62" t="s">
        <v>39</v>
      </c>
      <c r="E1" s="64" t="s">
        <v>40</v>
      </c>
      <c r="F1" s="62" t="s">
        <v>41</v>
      </c>
      <c r="G1" s="48" t="s">
        <v>7</v>
      </c>
      <c r="H1" s="44" t="s">
        <v>42</v>
      </c>
      <c r="I1" s="46" t="s">
        <v>43</v>
      </c>
      <c r="J1" s="28"/>
      <c r="K1" s="28"/>
      <c r="L1" s="29"/>
      <c r="M1" s="27"/>
    </row>
    <row r="2" spans="1:13" ht="14.25" customHeight="1">
      <c r="A2" s="58"/>
      <c r="B2" s="59"/>
      <c r="C2" s="61"/>
      <c r="D2" s="63"/>
      <c r="E2" s="59"/>
      <c r="F2" s="63"/>
      <c r="G2" s="49"/>
      <c r="H2" s="45"/>
      <c r="I2" s="47"/>
    </row>
    <row r="3" spans="1:13" ht="19.5" customHeight="1">
      <c r="A3" s="50" t="s">
        <v>4</v>
      </c>
      <c r="B3" s="51"/>
      <c r="C3" s="36">
        <v>7981</v>
      </c>
      <c r="D3" s="36">
        <v>2737</v>
      </c>
      <c r="E3" s="35">
        <v>5244</v>
      </c>
      <c r="F3" s="36">
        <v>531</v>
      </c>
      <c r="G3" s="35">
        <v>4068</v>
      </c>
      <c r="H3" s="37">
        <v>434.53</v>
      </c>
      <c r="I3" s="31">
        <v>40.9</v>
      </c>
    </row>
    <row r="4" spans="1:13" ht="18" customHeight="1">
      <c r="A4" s="52" t="s">
        <v>5</v>
      </c>
      <c r="B4" s="53"/>
      <c r="C4" s="36">
        <v>2168</v>
      </c>
      <c r="D4" s="36">
        <v>1030</v>
      </c>
      <c r="E4" s="35">
        <v>1138</v>
      </c>
      <c r="F4" s="36">
        <v>341</v>
      </c>
      <c r="G4" s="35">
        <v>1683</v>
      </c>
      <c r="H4" s="38">
        <v>118.04</v>
      </c>
      <c r="I4" s="31">
        <v>63.2</v>
      </c>
    </row>
    <row r="5" spans="1:13" ht="20.25" customHeight="1">
      <c r="A5" s="54" t="s">
        <v>8</v>
      </c>
      <c r="B5" s="55"/>
      <c r="C5" s="36">
        <v>984</v>
      </c>
      <c r="D5" s="36">
        <v>534</v>
      </c>
      <c r="E5" s="35">
        <v>450</v>
      </c>
      <c r="F5" s="36">
        <v>190</v>
      </c>
      <c r="G5" s="35">
        <v>945</v>
      </c>
      <c r="H5" s="38">
        <v>53.57</v>
      </c>
      <c r="I5" s="31">
        <v>73.599999999999994</v>
      </c>
    </row>
    <row r="6" spans="1:13" ht="14.25" customHeight="1">
      <c r="A6" s="56" t="s">
        <v>9</v>
      </c>
      <c r="B6" s="57"/>
      <c r="C6" s="36">
        <v>1245</v>
      </c>
      <c r="D6" s="36">
        <v>744</v>
      </c>
      <c r="E6" s="35">
        <v>501</v>
      </c>
      <c r="F6" s="36">
        <v>175</v>
      </c>
      <c r="G6" s="35">
        <v>1107</v>
      </c>
      <c r="H6" s="38">
        <v>67.78</v>
      </c>
      <c r="I6" s="31">
        <v>73.8</v>
      </c>
    </row>
    <row r="7" spans="1:13" ht="14.25" customHeight="1">
      <c r="A7" s="42" t="s">
        <v>10</v>
      </c>
      <c r="B7" s="43"/>
      <c r="C7" s="36">
        <v>1313</v>
      </c>
      <c r="D7" s="36">
        <v>769</v>
      </c>
      <c r="E7" s="35">
        <v>544</v>
      </c>
      <c r="F7" s="36">
        <v>251</v>
      </c>
      <c r="G7" s="35">
        <v>1185</v>
      </c>
      <c r="H7" s="38">
        <v>71.489999999999995</v>
      </c>
      <c r="I7" s="31">
        <v>77.7</v>
      </c>
    </row>
    <row r="8" spans="1:13" ht="14.25" customHeight="1">
      <c r="A8" s="65" t="s">
        <v>11</v>
      </c>
      <c r="B8" s="66"/>
      <c r="C8" s="36">
        <v>1216</v>
      </c>
      <c r="D8" s="36">
        <v>759</v>
      </c>
      <c r="E8" s="35">
        <v>457</v>
      </c>
      <c r="F8" s="36">
        <v>271</v>
      </c>
      <c r="G8" s="35">
        <v>1272</v>
      </c>
      <c r="H8" s="38">
        <v>66.209999999999994</v>
      </c>
      <c r="I8" s="31">
        <v>84.7</v>
      </c>
    </row>
    <row r="9" spans="1:13" ht="14.25" customHeight="1">
      <c r="A9" s="67" t="s">
        <v>12</v>
      </c>
      <c r="B9" s="68"/>
      <c r="C9" s="36">
        <v>1979</v>
      </c>
      <c r="D9" s="36">
        <v>1411</v>
      </c>
      <c r="E9" s="35">
        <v>568</v>
      </c>
      <c r="F9" s="36">
        <v>226</v>
      </c>
      <c r="G9" s="35">
        <v>1962</v>
      </c>
      <c r="H9" s="38">
        <v>107.75</v>
      </c>
      <c r="I9" s="31">
        <v>82.7</v>
      </c>
    </row>
    <row r="10" spans="1:13" ht="14.25" customHeight="1">
      <c r="A10" s="69" t="s">
        <v>13</v>
      </c>
      <c r="B10" s="70"/>
      <c r="C10" s="36">
        <v>1706</v>
      </c>
      <c r="D10" s="36">
        <v>821</v>
      </c>
      <c r="E10" s="35">
        <v>885</v>
      </c>
      <c r="F10" s="36">
        <v>358</v>
      </c>
      <c r="G10" s="35">
        <v>1411</v>
      </c>
      <c r="H10" s="38">
        <v>92.88</v>
      </c>
      <c r="I10" s="31">
        <v>69.099999999999994</v>
      </c>
    </row>
    <row r="11" spans="1:13" ht="15">
      <c r="A11" s="71" t="s">
        <v>14</v>
      </c>
      <c r="B11" s="72"/>
      <c r="C11" s="36">
        <v>135</v>
      </c>
      <c r="D11" s="36">
        <v>135</v>
      </c>
      <c r="E11" s="35">
        <v>0</v>
      </c>
      <c r="F11" s="36">
        <v>0</v>
      </c>
      <c r="G11" s="35">
        <v>367</v>
      </c>
      <c r="H11" s="38">
        <v>7.35</v>
      </c>
      <c r="I11" s="30">
        <v>100</v>
      </c>
    </row>
    <row r="12" spans="1:13" ht="15">
      <c r="A12" s="73" t="s">
        <v>15</v>
      </c>
      <c r="B12" s="74"/>
      <c r="C12" s="33">
        <f t="shared" ref="C12:H12" si="0">SUM(C3:C11)</f>
        <v>18727</v>
      </c>
      <c r="D12" s="33">
        <f t="shared" si="0"/>
        <v>8940</v>
      </c>
      <c r="E12" s="34">
        <f t="shared" si="0"/>
        <v>9787</v>
      </c>
      <c r="F12" s="33">
        <f t="shared" si="0"/>
        <v>2343</v>
      </c>
      <c r="G12" s="34">
        <f t="shared" si="0"/>
        <v>14000</v>
      </c>
      <c r="H12" s="39">
        <f t="shared" si="0"/>
        <v>1019.6</v>
      </c>
      <c r="I12" s="40">
        <f>SUM(I3:I11) / 11.0581</f>
        <v>60.200215226847284</v>
      </c>
    </row>
    <row r="16" spans="1:13">
      <c r="F16" t="s">
        <v>3</v>
      </c>
    </row>
  </sheetData>
  <mergeCells count="18">
    <mergeCell ref="A8:B8"/>
    <mergeCell ref="A9:B9"/>
    <mergeCell ref="A10:B10"/>
    <mergeCell ref="A11:B11"/>
    <mergeCell ref="A12:B12"/>
    <mergeCell ref="A7:B7"/>
    <mergeCell ref="H1:H2"/>
    <mergeCell ref="I1:I2"/>
    <mergeCell ref="G1:G2"/>
    <mergeCell ref="A3:B3"/>
    <mergeCell ref="A4:B4"/>
    <mergeCell ref="A5:B5"/>
    <mergeCell ref="A6:B6"/>
    <mergeCell ref="A1:B2"/>
    <mergeCell ref="C1:C2"/>
    <mergeCell ref="D1:D2"/>
    <mergeCell ref="E1:E2"/>
    <mergeCell ref="F1:F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9"/>
  <sheetViews>
    <sheetView zoomScale="80" zoomScaleNormal="80" workbookViewId="0">
      <selection activeCell="F55" sqref="F55"/>
    </sheetView>
  </sheetViews>
  <sheetFormatPr defaultRowHeight="14.25"/>
  <cols>
    <col min="4" max="4" width="17.375" customWidth="1"/>
    <col min="5" max="5" width="16.375" customWidth="1"/>
    <col min="6" max="6" width="14.5" customWidth="1"/>
    <col min="7" max="7" width="17.25" customWidth="1"/>
    <col min="8" max="8" width="18.375" customWidth="1"/>
    <col min="9" max="9" width="18.875" customWidth="1"/>
    <col min="10" max="10" width="9" customWidth="1"/>
  </cols>
  <sheetData>
    <row r="1" spans="1:13">
      <c r="A1" s="88" t="s">
        <v>16</v>
      </c>
      <c r="B1" s="88"/>
      <c r="C1" s="88"/>
      <c r="D1" s="88"/>
      <c r="E1" s="88"/>
      <c r="F1" s="88"/>
      <c r="G1" s="88" t="s">
        <v>7</v>
      </c>
      <c r="H1" s="88"/>
      <c r="I1" s="88"/>
      <c r="J1" s="1"/>
      <c r="K1" s="1"/>
      <c r="L1" s="1"/>
      <c r="M1" s="1"/>
    </row>
    <row r="2" spans="1:13">
      <c r="A2" s="78"/>
      <c r="B2" s="79"/>
      <c r="C2" s="80"/>
      <c r="D2" s="92" t="s">
        <v>0</v>
      </c>
      <c r="E2" s="93" t="s">
        <v>1</v>
      </c>
      <c r="F2" s="94" t="s">
        <v>2</v>
      </c>
      <c r="G2" s="87" t="s">
        <v>0</v>
      </c>
      <c r="H2" s="87" t="s">
        <v>1</v>
      </c>
      <c r="I2" s="87" t="s">
        <v>2</v>
      </c>
    </row>
    <row r="3" spans="1:13">
      <c r="A3" s="81"/>
      <c r="B3" s="82"/>
      <c r="C3" s="83"/>
      <c r="D3" s="92"/>
      <c r="E3" s="93"/>
      <c r="F3" s="94"/>
      <c r="G3" s="87"/>
      <c r="H3" s="87"/>
      <c r="I3" s="87"/>
    </row>
    <row r="4" spans="1:13">
      <c r="A4" s="107" t="s">
        <v>4</v>
      </c>
      <c r="B4" s="108"/>
      <c r="C4" s="109"/>
      <c r="D4" s="32">
        <v>166</v>
      </c>
      <c r="E4" s="10">
        <v>157</v>
      </c>
      <c r="F4" s="7">
        <f>(D4-E4)/E4</f>
        <v>5.7324840764331211E-2</v>
      </c>
      <c r="G4" s="2">
        <v>202</v>
      </c>
      <c r="H4" s="2">
        <v>175</v>
      </c>
      <c r="I4" s="3">
        <f>(G4-H4)/H4</f>
        <v>0.15428571428571428</v>
      </c>
    </row>
    <row r="5" spans="1:13">
      <c r="A5" s="75" t="s">
        <v>5</v>
      </c>
      <c r="B5" s="76"/>
      <c r="C5" s="77"/>
      <c r="D5" s="32">
        <v>123</v>
      </c>
      <c r="E5" s="10">
        <v>134</v>
      </c>
      <c r="F5" s="7">
        <f>(D5-E5)/E5</f>
        <v>-8.2089552238805971E-2</v>
      </c>
      <c r="G5" s="2">
        <v>135</v>
      </c>
      <c r="H5" s="2">
        <v>153</v>
      </c>
      <c r="I5" s="3">
        <f t="shared" ref="I5:I12" si="0">(G5-H5)/H5</f>
        <v>-0.11764705882352941</v>
      </c>
    </row>
    <row r="6" spans="1:13">
      <c r="A6" s="95" t="s">
        <v>8</v>
      </c>
      <c r="B6" s="96"/>
      <c r="C6" s="97"/>
      <c r="D6" s="32">
        <v>73</v>
      </c>
      <c r="E6" s="10">
        <v>52</v>
      </c>
      <c r="F6" s="7">
        <f t="shared" ref="F6:F12" si="1">(D6-E6)/E6</f>
        <v>0.40384615384615385</v>
      </c>
      <c r="G6" s="2">
        <v>89</v>
      </c>
      <c r="H6" s="2">
        <v>64</v>
      </c>
      <c r="I6" s="3">
        <f t="shared" si="0"/>
        <v>0.390625</v>
      </c>
    </row>
    <row r="7" spans="1:13">
      <c r="A7" s="84" t="s">
        <v>9</v>
      </c>
      <c r="B7" s="85"/>
      <c r="C7" s="86"/>
      <c r="D7" s="32">
        <v>56</v>
      </c>
      <c r="E7" s="10">
        <v>53</v>
      </c>
      <c r="F7" s="7">
        <f t="shared" si="1"/>
        <v>5.6603773584905662E-2</v>
      </c>
      <c r="G7" s="2">
        <v>61</v>
      </c>
      <c r="H7" s="2">
        <v>57</v>
      </c>
      <c r="I7" s="3">
        <f t="shared" si="0"/>
        <v>7.0175438596491224E-2</v>
      </c>
    </row>
    <row r="8" spans="1:13">
      <c r="A8" s="98" t="s">
        <v>10</v>
      </c>
      <c r="B8" s="99"/>
      <c r="C8" s="100"/>
      <c r="D8" s="32">
        <v>131</v>
      </c>
      <c r="E8" s="10">
        <v>117</v>
      </c>
      <c r="F8" s="7">
        <f t="shared" si="1"/>
        <v>0.11965811965811966</v>
      </c>
      <c r="G8" s="2">
        <v>155</v>
      </c>
      <c r="H8" s="2">
        <v>125</v>
      </c>
      <c r="I8" s="3">
        <f t="shared" si="0"/>
        <v>0.24</v>
      </c>
    </row>
    <row r="9" spans="1:13">
      <c r="A9" s="101" t="s">
        <v>11</v>
      </c>
      <c r="B9" s="102"/>
      <c r="C9" s="103"/>
      <c r="D9" s="32">
        <v>98</v>
      </c>
      <c r="E9" s="10">
        <v>68</v>
      </c>
      <c r="F9" s="7">
        <f t="shared" si="1"/>
        <v>0.44117647058823528</v>
      </c>
      <c r="G9" s="2">
        <v>119</v>
      </c>
      <c r="H9" s="2">
        <v>78</v>
      </c>
      <c r="I9" s="3">
        <f t="shared" si="0"/>
        <v>0.52564102564102566</v>
      </c>
    </row>
    <row r="10" spans="1:13">
      <c r="A10" s="104" t="s">
        <v>12</v>
      </c>
      <c r="B10" s="105"/>
      <c r="C10" s="106"/>
      <c r="D10" s="32">
        <v>120</v>
      </c>
      <c r="E10" s="10">
        <v>134</v>
      </c>
      <c r="F10" s="7">
        <f t="shared" si="1"/>
        <v>-0.1044776119402985</v>
      </c>
      <c r="G10" s="2">
        <v>156</v>
      </c>
      <c r="H10" s="2">
        <v>181</v>
      </c>
      <c r="I10" s="3">
        <f t="shared" si="0"/>
        <v>-0.13812154696132597</v>
      </c>
    </row>
    <row r="11" spans="1:13">
      <c r="A11" s="95" t="s">
        <v>13</v>
      </c>
      <c r="B11" s="96"/>
      <c r="C11" s="97"/>
      <c r="D11" s="32">
        <v>114</v>
      </c>
      <c r="E11" s="10">
        <v>108</v>
      </c>
      <c r="F11" s="7">
        <f t="shared" si="1"/>
        <v>5.5555555555555552E-2</v>
      </c>
      <c r="G11" s="2">
        <v>122</v>
      </c>
      <c r="H11" s="2">
        <v>114</v>
      </c>
      <c r="I11" s="3">
        <f t="shared" si="0"/>
        <v>7.0175438596491224E-2</v>
      </c>
    </row>
    <row r="12" spans="1:13">
      <c r="A12" s="84" t="s">
        <v>14</v>
      </c>
      <c r="B12" s="85"/>
      <c r="C12" s="86"/>
      <c r="D12" s="32">
        <v>10</v>
      </c>
      <c r="E12" s="10">
        <v>5</v>
      </c>
      <c r="F12" s="8">
        <f t="shared" si="1"/>
        <v>1</v>
      </c>
      <c r="G12" s="2">
        <v>27</v>
      </c>
      <c r="H12" s="2">
        <v>39</v>
      </c>
      <c r="I12" s="3">
        <f t="shared" si="0"/>
        <v>-0.30769230769230771</v>
      </c>
    </row>
    <row r="13" spans="1:13">
      <c r="A13" s="89" t="s">
        <v>15</v>
      </c>
      <c r="B13" s="90"/>
      <c r="C13" s="91"/>
      <c r="D13" s="41">
        <f>SUM(D4:D12)</f>
        <v>891</v>
      </c>
      <c r="E13" s="11">
        <f>SUM(E4:E12)</f>
        <v>828</v>
      </c>
      <c r="F13" s="9">
        <f>(D13-E13)/E13</f>
        <v>7.6086956521739135E-2</v>
      </c>
      <c r="G13" s="4">
        <f>SUM(G4:G12)</f>
        <v>1066</v>
      </c>
      <c r="H13" s="4">
        <f>SUM(H4:H12)</f>
        <v>986</v>
      </c>
      <c r="I13" s="5">
        <f>(G13-H13)/H13</f>
        <v>8.1135902636916835E-2</v>
      </c>
    </row>
    <row r="59" spans="4:4">
      <c r="D59" t="s">
        <v>27</v>
      </c>
    </row>
  </sheetData>
  <mergeCells count="19">
    <mergeCell ref="G1:I1"/>
    <mergeCell ref="G2:G3"/>
    <mergeCell ref="A13:C13"/>
    <mergeCell ref="D2:D3"/>
    <mergeCell ref="E2:E3"/>
    <mergeCell ref="F2:F3"/>
    <mergeCell ref="A1:F1"/>
    <mergeCell ref="A6:C6"/>
    <mergeCell ref="A7:C7"/>
    <mergeCell ref="A8:C8"/>
    <mergeCell ref="A9:C9"/>
    <mergeCell ref="A10:C10"/>
    <mergeCell ref="A11:C11"/>
    <mergeCell ref="A4:C4"/>
    <mergeCell ref="A5:C5"/>
    <mergeCell ref="A2:C3"/>
    <mergeCell ref="A12:C12"/>
    <mergeCell ref="H2:H3"/>
    <mergeCell ref="I2:I3"/>
  </mergeCells>
  <pageMargins left="0.7" right="0.7" top="0.75" bottom="0.75" header="0.3" footer="0.3"/>
  <pageSetup orientation="portrait" r:id="rId1"/>
  <ignoredErrors>
    <ignoredError sqref="F13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4"/>
  <sheetViews>
    <sheetView zoomScale="90" zoomScaleNormal="90" workbookViewId="0">
      <selection activeCell="I36" sqref="I36"/>
    </sheetView>
  </sheetViews>
  <sheetFormatPr defaultRowHeight="14.25"/>
  <sheetData>
    <row r="1" spans="1:14" ht="15">
      <c r="A1" s="135" t="s">
        <v>6</v>
      </c>
      <c r="B1" s="135"/>
      <c r="C1" s="135"/>
      <c r="D1" s="135"/>
      <c r="E1" s="136"/>
      <c r="F1" s="137" t="s">
        <v>0</v>
      </c>
      <c r="G1" s="135"/>
      <c r="H1" s="136"/>
      <c r="I1" s="137" t="s">
        <v>1</v>
      </c>
      <c r="J1" s="135"/>
      <c r="K1" s="136"/>
      <c r="L1" s="137" t="s">
        <v>2</v>
      </c>
      <c r="M1" s="135"/>
      <c r="N1" s="136"/>
    </row>
    <row r="2" spans="1:14" ht="15">
      <c r="A2" s="138" t="s">
        <v>17</v>
      </c>
      <c r="B2" s="138"/>
      <c r="C2" s="138"/>
      <c r="D2" s="138"/>
      <c r="E2" s="139"/>
      <c r="F2" s="130">
        <v>69</v>
      </c>
      <c r="G2" s="131"/>
      <c r="H2" s="132"/>
      <c r="I2" s="140">
        <v>111</v>
      </c>
      <c r="J2" s="141"/>
      <c r="K2" s="142"/>
      <c r="L2" s="117">
        <f>(F2-I2)/I2</f>
        <v>-0.3783783783783784</v>
      </c>
      <c r="M2" s="118"/>
      <c r="N2" s="119"/>
    </row>
    <row r="3" spans="1:14" ht="15">
      <c r="A3" s="133" t="s">
        <v>18</v>
      </c>
      <c r="B3" s="133"/>
      <c r="C3" s="133"/>
      <c r="D3" s="133"/>
      <c r="E3" s="134"/>
      <c r="F3" s="110">
        <v>60</v>
      </c>
      <c r="G3" s="111"/>
      <c r="H3" s="112"/>
      <c r="I3" s="110">
        <v>96</v>
      </c>
      <c r="J3" s="111"/>
      <c r="K3" s="112"/>
      <c r="L3" s="117">
        <f>(F3-I3)/I3</f>
        <v>-0.375</v>
      </c>
      <c r="M3" s="118"/>
      <c r="N3" s="119"/>
    </row>
    <row r="4" spans="1:14" ht="15">
      <c r="A4" s="126" t="s">
        <v>19</v>
      </c>
      <c r="B4" s="126"/>
      <c r="C4" s="126"/>
      <c r="D4" s="126"/>
      <c r="E4" s="127"/>
      <c r="F4" s="110">
        <v>78</v>
      </c>
      <c r="G4" s="111"/>
      <c r="H4" s="112"/>
      <c r="I4" s="110">
        <v>119</v>
      </c>
      <c r="J4" s="111"/>
      <c r="K4" s="112"/>
      <c r="L4" s="117">
        <f>(F4-I4)/I4</f>
        <v>-0.34453781512605042</v>
      </c>
      <c r="M4" s="118"/>
      <c r="N4" s="119"/>
    </row>
    <row r="5" spans="1:14" ht="15">
      <c r="A5" s="128" t="s">
        <v>20</v>
      </c>
      <c r="B5" s="128"/>
      <c r="C5" s="128"/>
      <c r="D5" s="128"/>
      <c r="E5" s="129"/>
      <c r="F5" s="110">
        <v>487</v>
      </c>
      <c r="G5" s="111"/>
      <c r="H5" s="112"/>
      <c r="I5" s="113">
        <v>1334</v>
      </c>
      <c r="J5" s="111"/>
      <c r="K5" s="112"/>
      <c r="L5" s="120">
        <f>(F5-I5)/I5-0.01</f>
        <v>-0.64493253373313342</v>
      </c>
      <c r="M5" s="121"/>
      <c r="N5" s="122"/>
    </row>
    <row r="6" spans="1:14" ht="15">
      <c r="A6" s="115" t="s">
        <v>21</v>
      </c>
      <c r="B6" s="115"/>
      <c r="C6" s="115"/>
      <c r="D6" s="115"/>
      <c r="E6" s="116"/>
      <c r="F6" s="114">
        <v>2</v>
      </c>
      <c r="G6" s="115"/>
      <c r="H6" s="116"/>
      <c r="I6" s="114">
        <v>2</v>
      </c>
      <c r="J6" s="115"/>
      <c r="K6" s="116"/>
      <c r="L6" s="123">
        <f>(F6-I6)/I6</f>
        <v>0</v>
      </c>
      <c r="M6" s="124"/>
      <c r="N6" s="125"/>
    </row>
    <row r="12" spans="1:14">
      <c r="G12" t="s">
        <v>3</v>
      </c>
    </row>
    <row r="24" spans="5:5">
      <c r="E24" s="6"/>
    </row>
  </sheetData>
  <mergeCells count="24">
    <mergeCell ref="A1:E1"/>
    <mergeCell ref="F1:H1"/>
    <mergeCell ref="I1:K1"/>
    <mergeCell ref="L1:N1"/>
    <mergeCell ref="A2:E2"/>
    <mergeCell ref="I2:K2"/>
    <mergeCell ref="A4:E4"/>
    <mergeCell ref="A5:E5"/>
    <mergeCell ref="A6:E6"/>
    <mergeCell ref="F2:H2"/>
    <mergeCell ref="F3:H3"/>
    <mergeCell ref="F4:H4"/>
    <mergeCell ref="F5:H5"/>
    <mergeCell ref="F6:H6"/>
    <mergeCell ref="A3:E3"/>
    <mergeCell ref="I4:K4"/>
    <mergeCell ref="I5:K5"/>
    <mergeCell ref="I6:K6"/>
    <mergeCell ref="L2:N2"/>
    <mergeCell ref="L3:N3"/>
    <mergeCell ref="L4:N4"/>
    <mergeCell ref="L5:N5"/>
    <mergeCell ref="I3:K3"/>
    <mergeCell ref="L6:N6"/>
  </mergeCells>
  <pageMargins left="0.7" right="0.7" top="0.75" bottom="0.75" header="0.3" footer="0.3"/>
  <pageSetup orientation="portrait" r:id="rId1"/>
  <ignoredErrors>
    <ignoredError sqref="L5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zoomScale="50" zoomScaleNormal="50" workbookViewId="0">
      <selection activeCell="Q55" sqref="Q55:Q56"/>
    </sheetView>
  </sheetViews>
  <sheetFormatPr defaultRowHeight="14.25"/>
  <cols>
    <col min="1" max="1" width="5.875" customWidth="1"/>
    <col min="2" max="2" width="6.75" customWidth="1"/>
    <col min="3" max="3" width="7" customWidth="1"/>
    <col min="4" max="4" width="9.25" customWidth="1"/>
    <col min="5" max="5" width="10.875" customWidth="1"/>
    <col min="6" max="6" width="7.25" customWidth="1"/>
    <col min="17" max="17" width="21.125" customWidth="1"/>
  </cols>
  <sheetData>
    <row r="1" spans="1:15" ht="14.25" customHeight="1">
      <c r="A1" s="153" t="s">
        <v>53</v>
      </c>
      <c r="B1" s="153"/>
      <c r="C1" s="153"/>
      <c r="D1" s="153"/>
      <c r="E1" s="153"/>
      <c r="F1" s="153"/>
      <c r="G1" s="153"/>
      <c r="H1" s="153"/>
      <c r="I1" s="153"/>
      <c r="J1" s="153"/>
      <c r="K1" s="174" t="s">
        <v>44</v>
      </c>
      <c r="L1" s="174"/>
      <c r="M1" s="174"/>
      <c r="N1" s="174"/>
      <c r="O1" s="18"/>
    </row>
    <row r="2" spans="1:15" ht="14.25" customHeight="1">
      <c r="A2" s="153"/>
      <c r="B2" s="153"/>
      <c r="C2" s="153"/>
      <c r="D2" s="153"/>
      <c r="E2" s="153"/>
      <c r="F2" s="153"/>
      <c r="G2" s="153"/>
      <c r="H2" s="153"/>
      <c r="I2" s="153"/>
      <c r="J2" s="153"/>
      <c r="K2" s="174"/>
      <c r="L2" s="174"/>
      <c r="M2" s="174"/>
      <c r="N2" s="174"/>
      <c r="O2" s="18"/>
    </row>
    <row r="3" spans="1:15" ht="14.25" customHeight="1">
      <c r="A3" s="143" t="s">
        <v>45</v>
      </c>
      <c r="B3" s="143"/>
      <c r="C3" s="143"/>
      <c r="D3" s="143"/>
      <c r="E3" s="143"/>
      <c r="F3" s="144"/>
      <c r="G3" s="155" t="s">
        <v>0</v>
      </c>
      <c r="H3" s="143"/>
      <c r="I3" s="155" t="s">
        <v>1</v>
      </c>
      <c r="J3" s="143"/>
      <c r="K3" s="155" t="s">
        <v>0</v>
      </c>
      <c r="L3" s="143"/>
      <c r="M3" s="155" t="s">
        <v>1</v>
      </c>
      <c r="N3" s="143"/>
    </row>
    <row r="4" spans="1:15" ht="14.25" customHeight="1">
      <c r="A4" s="145"/>
      <c r="B4" s="145"/>
      <c r="C4" s="145"/>
      <c r="D4" s="145"/>
      <c r="E4" s="145"/>
      <c r="F4" s="146"/>
      <c r="G4" s="155"/>
      <c r="H4" s="143"/>
      <c r="I4" s="155"/>
      <c r="J4" s="143"/>
      <c r="K4" s="155"/>
      <c r="L4" s="143"/>
      <c r="M4" s="155"/>
      <c r="N4" s="143"/>
    </row>
    <row r="5" spans="1:15" ht="14.25" customHeight="1">
      <c r="A5" s="147" t="s">
        <v>46</v>
      </c>
      <c r="B5" s="147"/>
      <c r="C5" s="147"/>
      <c r="D5" s="147"/>
      <c r="E5" s="147"/>
      <c r="F5" s="148"/>
      <c r="G5" s="156">
        <v>8</v>
      </c>
      <c r="H5" s="156"/>
      <c r="I5" s="156">
        <v>6</v>
      </c>
      <c r="J5" s="156"/>
      <c r="K5" s="156">
        <v>61</v>
      </c>
      <c r="L5" s="156"/>
      <c r="M5" s="156">
        <v>24</v>
      </c>
      <c r="N5" s="156"/>
    </row>
    <row r="6" spans="1:15" ht="14.25" customHeight="1">
      <c r="A6" s="149" t="s">
        <v>47</v>
      </c>
      <c r="B6" s="149"/>
      <c r="C6" s="149"/>
      <c r="D6" s="149"/>
      <c r="E6" s="149"/>
      <c r="F6" s="150"/>
      <c r="G6" s="157" t="s">
        <v>22</v>
      </c>
      <c r="H6" s="158"/>
      <c r="I6" s="154">
        <v>3</v>
      </c>
      <c r="J6" s="154"/>
      <c r="K6" s="154" t="s">
        <v>22</v>
      </c>
      <c r="L6" s="154"/>
      <c r="M6" s="154">
        <v>41</v>
      </c>
      <c r="N6" s="154"/>
    </row>
    <row r="7" spans="1:15" ht="14.25" customHeight="1">
      <c r="A7" s="151"/>
      <c r="B7" s="151"/>
      <c r="C7" s="151"/>
      <c r="D7" s="151"/>
      <c r="E7" s="151"/>
      <c r="F7" s="152"/>
      <c r="G7" s="157"/>
      <c r="H7" s="158"/>
      <c r="I7" s="154"/>
      <c r="J7" s="154"/>
      <c r="K7" s="154"/>
      <c r="L7" s="154"/>
      <c r="M7" s="154"/>
      <c r="N7" s="154"/>
    </row>
    <row r="8" spans="1:15" ht="15">
      <c r="A8" s="56" t="s">
        <v>48</v>
      </c>
      <c r="B8" s="56"/>
      <c r="C8" s="56"/>
      <c r="D8" s="56"/>
      <c r="E8" s="56"/>
      <c r="F8" s="57"/>
      <c r="G8" s="110">
        <v>2</v>
      </c>
      <c r="H8" s="111"/>
      <c r="I8" s="156">
        <v>3</v>
      </c>
      <c r="J8" s="156"/>
      <c r="K8" s="156">
        <v>26</v>
      </c>
      <c r="L8" s="156"/>
      <c r="M8" s="156">
        <v>30</v>
      </c>
      <c r="N8" s="156"/>
    </row>
    <row r="9" spans="1:15" ht="15">
      <c r="A9" s="162" t="s">
        <v>49</v>
      </c>
      <c r="B9" s="162"/>
      <c r="C9" s="162"/>
      <c r="D9" s="162"/>
      <c r="E9" s="162"/>
      <c r="F9" s="163"/>
      <c r="G9" s="110">
        <v>2</v>
      </c>
      <c r="H9" s="111"/>
      <c r="I9" s="156">
        <v>1</v>
      </c>
      <c r="J9" s="156"/>
      <c r="K9" s="156">
        <v>20</v>
      </c>
      <c r="L9" s="156"/>
      <c r="M9" s="156">
        <v>24</v>
      </c>
      <c r="N9" s="156"/>
    </row>
    <row r="10" spans="1:15" ht="14.25" customHeight="1">
      <c r="A10" s="164" t="s">
        <v>50</v>
      </c>
      <c r="B10" s="164"/>
      <c r="C10" s="164"/>
      <c r="D10" s="164"/>
      <c r="E10" s="164"/>
      <c r="F10" s="165"/>
      <c r="G10" s="157">
        <v>1</v>
      </c>
      <c r="H10" s="158"/>
      <c r="I10" s="154" t="s">
        <v>22</v>
      </c>
      <c r="J10" s="154"/>
      <c r="K10" s="154">
        <v>4</v>
      </c>
      <c r="L10" s="154"/>
      <c r="M10" s="154" t="s">
        <v>22</v>
      </c>
      <c r="N10" s="154"/>
    </row>
    <row r="11" spans="1:15" ht="14.25" customHeight="1">
      <c r="A11" s="166"/>
      <c r="B11" s="166"/>
      <c r="C11" s="166"/>
      <c r="D11" s="166"/>
      <c r="E11" s="166"/>
      <c r="F11" s="167"/>
      <c r="G11" s="157"/>
      <c r="H11" s="158"/>
      <c r="I11" s="154"/>
      <c r="J11" s="154"/>
      <c r="K11" s="154"/>
      <c r="L11" s="154"/>
      <c r="M11" s="154"/>
      <c r="N11" s="154"/>
    </row>
    <row r="12" spans="1:15" ht="15">
      <c r="A12" s="168" t="s">
        <v>51</v>
      </c>
      <c r="B12" s="168"/>
      <c r="C12" s="168"/>
      <c r="D12" s="168"/>
      <c r="E12" s="168"/>
      <c r="F12" s="169"/>
      <c r="G12" s="110">
        <v>1</v>
      </c>
      <c r="H12" s="111"/>
      <c r="I12" s="156" t="s">
        <v>22</v>
      </c>
      <c r="J12" s="156"/>
      <c r="K12" s="156">
        <v>18</v>
      </c>
      <c r="L12" s="156"/>
      <c r="M12" s="156" t="s">
        <v>22</v>
      </c>
      <c r="N12" s="156"/>
    </row>
    <row r="13" spans="1:15" ht="14.25" customHeight="1">
      <c r="A13" s="170" t="s">
        <v>52</v>
      </c>
      <c r="B13" s="170"/>
      <c r="C13" s="170"/>
      <c r="D13" s="170"/>
      <c r="E13" s="170"/>
      <c r="F13" s="171"/>
      <c r="G13" s="157" t="s">
        <v>22</v>
      </c>
      <c r="H13" s="158"/>
      <c r="I13" s="154">
        <v>1</v>
      </c>
      <c r="J13" s="154"/>
      <c r="K13" s="154" t="s">
        <v>22</v>
      </c>
      <c r="L13" s="154"/>
      <c r="M13" s="154">
        <v>4</v>
      </c>
      <c r="N13" s="154"/>
    </row>
    <row r="14" spans="1:15" ht="14.25" customHeight="1">
      <c r="A14" s="172"/>
      <c r="B14" s="172"/>
      <c r="C14" s="172"/>
      <c r="D14" s="172"/>
      <c r="E14" s="172"/>
      <c r="F14" s="173"/>
      <c r="G14" s="157"/>
      <c r="H14" s="158"/>
      <c r="I14" s="154"/>
      <c r="J14" s="154"/>
      <c r="K14" s="154"/>
      <c r="L14" s="154"/>
      <c r="M14" s="154"/>
      <c r="N14" s="154"/>
    </row>
    <row r="15" spans="1:15" ht="15">
      <c r="A15" s="160" t="s">
        <v>15</v>
      </c>
      <c r="B15" s="160"/>
      <c r="C15" s="160"/>
      <c r="D15" s="160"/>
      <c r="E15" s="160"/>
      <c r="F15" s="161"/>
      <c r="G15" s="114">
        <f>SUM(G5:H14)</f>
        <v>14</v>
      </c>
      <c r="H15" s="115"/>
      <c r="I15" s="159">
        <f>SUM(I5:J14)</f>
        <v>14</v>
      </c>
      <c r="J15" s="159"/>
      <c r="K15" s="159">
        <f>SUM(K5:L14)</f>
        <v>129</v>
      </c>
      <c r="L15" s="159"/>
      <c r="M15" s="159">
        <f>SUM(M5:N14)</f>
        <v>123</v>
      </c>
      <c r="N15" s="159"/>
    </row>
    <row r="21" spans="11:17">
      <c r="N21" s="13"/>
    </row>
    <row r="22" spans="11:17">
      <c r="N22" s="14"/>
    </row>
    <row r="23" spans="11:17">
      <c r="M23" s="15"/>
    </row>
    <row r="24" spans="11:17">
      <c r="M24" s="15"/>
      <c r="N24" s="17"/>
    </row>
    <row r="25" spans="11:17">
      <c r="M25" s="16"/>
      <c r="Q25" s="1"/>
    </row>
    <row r="26" spans="11:17">
      <c r="M26" s="15"/>
      <c r="Q26" s="1"/>
    </row>
    <row r="27" spans="11:17">
      <c r="M27" s="15"/>
    </row>
    <row r="28" spans="11:17">
      <c r="K28" s="12"/>
    </row>
    <row r="42" spans="5:5">
      <c r="E42" t="s">
        <v>3</v>
      </c>
    </row>
  </sheetData>
  <mergeCells count="47">
    <mergeCell ref="M9:N9"/>
    <mergeCell ref="M10:N11"/>
    <mergeCell ref="M12:N12"/>
    <mergeCell ref="M13:N14"/>
    <mergeCell ref="M15:N15"/>
    <mergeCell ref="K1:N2"/>
    <mergeCell ref="M3:N4"/>
    <mergeCell ref="M5:N5"/>
    <mergeCell ref="M6:N7"/>
    <mergeCell ref="M8:N8"/>
    <mergeCell ref="K3:L4"/>
    <mergeCell ref="K5:L5"/>
    <mergeCell ref="K6:L7"/>
    <mergeCell ref="K8:L8"/>
    <mergeCell ref="K9:L9"/>
    <mergeCell ref="I3:J4"/>
    <mergeCell ref="I5:J5"/>
    <mergeCell ref="I6:J7"/>
    <mergeCell ref="I8:J8"/>
    <mergeCell ref="I9:J9"/>
    <mergeCell ref="A15:F15"/>
    <mergeCell ref="G15:H15"/>
    <mergeCell ref="A8:F8"/>
    <mergeCell ref="A9:F9"/>
    <mergeCell ref="A10:F11"/>
    <mergeCell ref="A12:F12"/>
    <mergeCell ref="A13:F14"/>
    <mergeCell ref="G8:H8"/>
    <mergeCell ref="G9:H9"/>
    <mergeCell ref="I12:J12"/>
    <mergeCell ref="I13:J14"/>
    <mergeCell ref="I15:J15"/>
    <mergeCell ref="K10:L11"/>
    <mergeCell ref="G10:H11"/>
    <mergeCell ref="G12:H12"/>
    <mergeCell ref="G13:H14"/>
    <mergeCell ref="K12:L12"/>
    <mergeCell ref="K13:L14"/>
    <mergeCell ref="K15:L15"/>
    <mergeCell ref="A3:F4"/>
    <mergeCell ref="A5:F5"/>
    <mergeCell ref="A6:F7"/>
    <mergeCell ref="A1:J2"/>
    <mergeCell ref="I10:J11"/>
    <mergeCell ref="G3:H4"/>
    <mergeCell ref="G5:H5"/>
    <mergeCell ref="G6:H7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P50"/>
  <sheetViews>
    <sheetView zoomScale="40" zoomScaleNormal="40" workbookViewId="0">
      <selection activeCell="P93" sqref="P93"/>
    </sheetView>
  </sheetViews>
  <sheetFormatPr defaultRowHeight="14.25"/>
  <cols>
    <col min="7" max="7" width="11.25" customWidth="1"/>
  </cols>
  <sheetData>
    <row r="1" spans="1:16">
      <c r="A1" s="184" t="s">
        <v>23</v>
      </c>
      <c r="B1" s="184"/>
      <c r="C1" s="184"/>
      <c r="D1" s="184"/>
      <c r="E1" s="184"/>
      <c r="F1" s="184"/>
      <c r="G1" s="185"/>
      <c r="H1" s="175" t="s">
        <v>0</v>
      </c>
      <c r="I1" s="175"/>
      <c r="J1" s="175"/>
      <c r="K1" s="175" t="s">
        <v>1</v>
      </c>
      <c r="L1" s="175"/>
      <c r="M1" s="175"/>
      <c r="N1" s="175" t="s">
        <v>2</v>
      </c>
      <c r="O1" s="175"/>
      <c r="P1" s="175"/>
    </row>
    <row r="2" spans="1:16">
      <c r="A2" s="184"/>
      <c r="B2" s="184"/>
      <c r="C2" s="184"/>
      <c r="D2" s="184"/>
      <c r="E2" s="184"/>
      <c r="F2" s="184"/>
      <c r="G2" s="185"/>
      <c r="H2" s="175"/>
      <c r="I2" s="175"/>
      <c r="J2" s="175"/>
      <c r="K2" s="175"/>
      <c r="L2" s="175"/>
      <c r="M2" s="175"/>
      <c r="N2" s="175"/>
      <c r="O2" s="175"/>
      <c r="P2" s="175"/>
    </row>
    <row r="3" spans="1:16">
      <c r="A3" s="186" t="s">
        <v>55</v>
      </c>
      <c r="B3" s="186"/>
      <c r="C3" s="186"/>
      <c r="D3" s="186"/>
      <c r="E3" s="186"/>
      <c r="F3" s="186"/>
      <c r="G3" s="187"/>
      <c r="H3" s="180">
        <v>10</v>
      </c>
      <c r="I3" s="180"/>
      <c r="J3" s="180"/>
      <c r="K3" s="180">
        <v>2</v>
      </c>
      <c r="L3" s="180"/>
      <c r="M3" s="180"/>
      <c r="N3" s="176">
        <f>(H3-K3)/K3+1</f>
        <v>5</v>
      </c>
      <c r="O3" s="176"/>
      <c r="P3" s="176"/>
    </row>
    <row r="4" spans="1:16">
      <c r="A4" s="186"/>
      <c r="B4" s="186"/>
      <c r="C4" s="186"/>
      <c r="D4" s="186"/>
      <c r="E4" s="186"/>
      <c r="F4" s="186"/>
      <c r="G4" s="187"/>
      <c r="H4" s="180"/>
      <c r="I4" s="180"/>
      <c r="J4" s="180"/>
      <c r="K4" s="180"/>
      <c r="L4" s="180"/>
      <c r="M4" s="180"/>
      <c r="N4" s="176"/>
      <c r="O4" s="176"/>
      <c r="P4" s="176"/>
    </row>
    <row r="5" spans="1:16">
      <c r="A5" s="186"/>
      <c r="B5" s="186"/>
      <c r="C5" s="186"/>
      <c r="D5" s="186"/>
      <c r="E5" s="186"/>
      <c r="F5" s="186"/>
      <c r="G5" s="187"/>
      <c r="H5" s="180"/>
      <c r="I5" s="180"/>
      <c r="J5" s="180"/>
      <c r="K5" s="180"/>
      <c r="L5" s="180"/>
      <c r="M5" s="180"/>
      <c r="N5" s="176"/>
      <c r="O5" s="176"/>
      <c r="P5" s="176"/>
    </row>
    <row r="6" spans="1:16">
      <c r="A6" s="151"/>
      <c r="B6" s="151"/>
      <c r="C6" s="151"/>
      <c r="D6" s="151"/>
      <c r="E6" s="151"/>
      <c r="F6" s="151"/>
      <c r="G6" s="152"/>
      <c r="H6" s="180"/>
      <c r="I6" s="180"/>
      <c r="J6" s="180"/>
      <c r="K6" s="180"/>
      <c r="L6" s="180"/>
      <c r="M6" s="180"/>
      <c r="N6" s="176"/>
      <c r="O6" s="176"/>
      <c r="P6" s="176"/>
    </row>
    <row r="7" spans="1:16">
      <c r="A7" s="188" t="s">
        <v>54</v>
      </c>
      <c r="B7" s="188"/>
      <c r="C7" s="188"/>
      <c r="D7" s="188"/>
      <c r="E7" s="188"/>
      <c r="F7" s="188"/>
      <c r="G7" s="189"/>
      <c r="H7" s="154">
        <v>2</v>
      </c>
      <c r="I7" s="154"/>
      <c r="J7" s="154"/>
      <c r="K7" s="154" t="s">
        <v>22</v>
      </c>
      <c r="L7" s="154"/>
      <c r="M7" s="154"/>
      <c r="N7" s="177">
        <f>(H7-N(K7))</f>
        <v>2</v>
      </c>
      <c r="O7" s="177"/>
      <c r="P7" s="177"/>
    </row>
    <row r="8" spans="1:16">
      <c r="A8" s="190"/>
      <c r="B8" s="190"/>
      <c r="C8" s="190"/>
      <c r="D8" s="190"/>
      <c r="E8" s="190"/>
      <c r="F8" s="190"/>
      <c r="G8" s="191"/>
      <c r="H8" s="154"/>
      <c r="I8" s="154"/>
      <c r="J8" s="154"/>
      <c r="K8" s="154"/>
      <c r="L8" s="154"/>
      <c r="M8" s="154"/>
      <c r="N8" s="177"/>
      <c r="O8" s="177"/>
      <c r="P8" s="177"/>
    </row>
    <row r="9" spans="1:16">
      <c r="A9" s="190"/>
      <c r="B9" s="190"/>
      <c r="C9" s="190"/>
      <c r="D9" s="190"/>
      <c r="E9" s="190"/>
      <c r="F9" s="190"/>
      <c r="G9" s="191"/>
      <c r="H9" s="154"/>
      <c r="I9" s="154"/>
      <c r="J9" s="154"/>
      <c r="K9" s="154"/>
      <c r="L9" s="154"/>
      <c r="M9" s="154"/>
      <c r="N9" s="177"/>
      <c r="O9" s="177"/>
      <c r="P9" s="177"/>
    </row>
    <row r="10" spans="1:16">
      <c r="A10" s="192"/>
      <c r="B10" s="192"/>
      <c r="C10" s="192"/>
      <c r="D10" s="192"/>
      <c r="E10" s="192"/>
      <c r="F10" s="192"/>
      <c r="G10" s="193"/>
      <c r="H10" s="154"/>
      <c r="I10" s="154"/>
      <c r="J10" s="154"/>
      <c r="K10" s="154"/>
      <c r="L10" s="154"/>
      <c r="M10" s="154"/>
      <c r="N10" s="177"/>
      <c r="O10" s="177"/>
      <c r="P10" s="177"/>
    </row>
    <row r="11" spans="1:16">
      <c r="A11" s="194" t="s">
        <v>56</v>
      </c>
      <c r="B11" s="194"/>
      <c r="C11" s="194"/>
      <c r="D11" s="194"/>
      <c r="E11" s="194"/>
      <c r="F11" s="194"/>
      <c r="G11" s="195"/>
      <c r="H11" s="154">
        <v>2</v>
      </c>
      <c r="I11" s="154"/>
      <c r="J11" s="154"/>
      <c r="K11" s="154" t="s">
        <v>22</v>
      </c>
      <c r="L11" s="154"/>
      <c r="M11" s="154"/>
      <c r="N11" s="177">
        <f>(H11-N(K11))</f>
        <v>2</v>
      </c>
      <c r="O11" s="177"/>
      <c r="P11" s="177"/>
    </row>
    <row r="12" spans="1:16">
      <c r="A12" s="196"/>
      <c r="B12" s="196"/>
      <c r="C12" s="196"/>
      <c r="D12" s="196"/>
      <c r="E12" s="196"/>
      <c r="F12" s="196"/>
      <c r="G12" s="197"/>
      <c r="H12" s="154"/>
      <c r="I12" s="154"/>
      <c r="J12" s="154"/>
      <c r="K12" s="154"/>
      <c r="L12" s="154"/>
      <c r="M12" s="154"/>
      <c r="N12" s="177"/>
      <c r="O12" s="177"/>
      <c r="P12" s="177"/>
    </row>
    <row r="13" spans="1:16">
      <c r="A13" s="196"/>
      <c r="B13" s="196"/>
      <c r="C13" s="196"/>
      <c r="D13" s="196"/>
      <c r="E13" s="196"/>
      <c r="F13" s="196"/>
      <c r="G13" s="197"/>
      <c r="H13" s="154"/>
      <c r="I13" s="154"/>
      <c r="J13" s="154"/>
      <c r="K13" s="154"/>
      <c r="L13" s="154"/>
      <c r="M13" s="154"/>
      <c r="N13" s="177"/>
      <c r="O13" s="177"/>
      <c r="P13" s="177"/>
    </row>
    <row r="14" spans="1:16">
      <c r="A14" s="198"/>
      <c r="B14" s="198"/>
      <c r="C14" s="198"/>
      <c r="D14" s="198"/>
      <c r="E14" s="198"/>
      <c r="F14" s="198"/>
      <c r="G14" s="199"/>
      <c r="H14" s="154"/>
      <c r="I14" s="154"/>
      <c r="J14" s="154"/>
      <c r="K14" s="154"/>
      <c r="L14" s="154"/>
      <c r="M14" s="154"/>
      <c r="N14" s="177"/>
      <c r="O14" s="177"/>
      <c r="P14" s="177"/>
    </row>
    <row r="15" spans="1:16" ht="15">
      <c r="A15" s="56" t="s">
        <v>24</v>
      </c>
      <c r="B15" s="56"/>
      <c r="C15" s="56"/>
      <c r="D15" s="56"/>
      <c r="E15" s="56"/>
      <c r="F15" s="56"/>
      <c r="G15" s="57"/>
      <c r="H15" s="156" t="s">
        <v>22</v>
      </c>
      <c r="I15" s="156"/>
      <c r="J15" s="156"/>
      <c r="K15" s="156">
        <v>1</v>
      </c>
      <c r="L15" s="156"/>
      <c r="M15" s="156"/>
      <c r="N15" s="178">
        <f>(N(H15)-K15)+1</f>
        <v>0</v>
      </c>
      <c r="O15" s="178"/>
      <c r="P15" s="178"/>
    </row>
    <row r="16" spans="1:16" ht="15">
      <c r="A16" s="168" t="s">
        <v>25</v>
      </c>
      <c r="B16" s="168"/>
      <c r="C16" s="168"/>
      <c r="D16" s="168"/>
      <c r="E16" s="168"/>
      <c r="F16" s="168"/>
      <c r="G16" s="169"/>
      <c r="H16" s="181">
        <v>1</v>
      </c>
      <c r="I16" s="181"/>
      <c r="J16" s="181"/>
      <c r="K16" s="181">
        <v>1</v>
      </c>
      <c r="L16" s="181"/>
      <c r="M16" s="181"/>
      <c r="N16" s="156"/>
      <c r="O16" s="156"/>
      <c r="P16" s="156"/>
    </row>
    <row r="17" spans="1:16">
      <c r="A17" s="182" t="s">
        <v>26</v>
      </c>
      <c r="B17" s="182"/>
      <c r="C17" s="182"/>
      <c r="D17" s="182"/>
      <c r="E17" s="182"/>
      <c r="F17" s="182"/>
      <c r="G17" s="183"/>
      <c r="H17" s="155">
        <f>SUM(H3:J16)</f>
        <v>15</v>
      </c>
      <c r="I17" s="143"/>
      <c r="J17" s="144"/>
      <c r="K17" s="155">
        <f>SUM(K3:M16)</f>
        <v>4</v>
      </c>
      <c r="L17" s="143"/>
      <c r="M17" s="144"/>
      <c r="N17" s="179">
        <f>((H17-K17)/K17)*100</f>
        <v>275</v>
      </c>
      <c r="O17" s="179"/>
      <c r="P17" s="179"/>
    </row>
    <row r="18" spans="1:16">
      <c r="A18" s="143"/>
      <c r="B18" s="143"/>
      <c r="C18" s="143"/>
      <c r="D18" s="143"/>
      <c r="E18" s="143"/>
      <c r="F18" s="143"/>
      <c r="G18" s="144"/>
      <c r="H18" s="155"/>
      <c r="I18" s="143"/>
      <c r="J18" s="144"/>
      <c r="K18" s="155"/>
      <c r="L18" s="143"/>
      <c r="M18" s="144"/>
      <c r="N18" s="179"/>
      <c r="O18" s="179"/>
      <c r="P18" s="179"/>
    </row>
    <row r="19" spans="1:16">
      <c r="A19" s="145"/>
      <c r="B19" s="145"/>
      <c r="C19" s="145"/>
      <c r="D19" s="145"/>
      <c r="E19" s="145"/>
      <c r="F19" s="145"/>
      <c r="G19" s="146"/>
      <c r="H19" s="155"/>
      <c r="I19" s="143"/>
      <c r="J19" s="144"/>
      <c r="K19" s="155"/>
      <c r="L19" s="143"/>
      <c r="M19" s="144"/>
      <c r="N19" s="179"/>
      <c r="O19" s="179"/>
      <c r="P19" s="179"/>
    </row>
    <row r="25" spans="1:16">
      <c r="K25" t="s">
        <v>3</v>
      </c>
    </row>
    <row r="28" spans="1:16">
      <c r="K28" t="s">
        <v>27</v>
      </c>
    </row>
    <row r="50" spans="10:10">
      <c r="J50" t="s">
        <v>3</v>
      </c>
    </row>
  </sheetData>
  <mergeCells count="28">
    <mergeCell ref="A16:G16"/>
    <mergeCell ref="A17:G19"/>
    <mergeCell ref="H1:J2"/>
    <mergeCell ref="H3:J6"/>
    <mergeCell ref="H7:J10"/>
    <mergeCell ref="H11:J14"/>
    <mergeCell ref="H15:J15"/>
    <mergeCell ref="H16:J16"/>
    <mergeCell ref="H17:J19"/>
    <mergeCell ref="A1:G2"/>
    <mergeCell ref="A3:G6"/>
    <mergeCell ref="A7:G10"/>
    <mergeCell ref="A11:G14"/>
    <mergeCell ref="A15:G15"/>
    <mergeCell ref="K17:M19"/>
    <mergeCell ref="N1:P2"/>
    <mergeCell ref="N3:P6"/>
    <mergeCell ref="N7:P10"/>
    <mergeCell ref="N11:P14"/>
    <mergeCell ref="N15:P15"/>
    <mergeCell ref="N16:P16"/>
    <mergeCell ref="N17:P19"/>
    <mergeCell ref="K1:M2"/>
    <mergeCell ref="K3:M6"/>
    <mergeCell ref="K7:M10"/>
    <mergeCell ref="K11:M14"/>
    <mergeCell ref="K15:M15"/>
    <mergeCell ref="K16:M16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zoomScale="80" zoomScaleNormal="80" workbookViewId="0">
      <selection activeCell="M41" sqref="M41"/>
    </sheetView>
  </sheetViews>
  <sheetFormatPr defaultRowHeight="14.25"/>
  <cols>
    <col min="4" max="4" width="10" customWidth="1"/>
    <col min="5" max="5" width="11.75" customWidth="1"/>
    <col min="7" max="7" width="12.375" customWidth="1"/>
    <col min="8" max="8" width="10.125" customWidth="1"/>
    <col min="9" max="9" width="14.375" customWidth="1"/>
  </cols>
  <sheetData>
    <row r="1" spans="1:12">
      <c r="A1" s="174" t="s">
        <v>28</v>
      </c>
      <c r="B1" s="174"/>
      <c r="C1" s="174"/>
      <c r="D1" s="174"/>
      <c r="E1" s="174"/>
      <c r="F1" s="174"/>
      <c r="G1" s="174"/>
      <c r="H1" s="174"/>
      <c r="I1" s="174"/>
      <c r="J1" s="18"/>
      <c r="K1" s="18"/>
      <c r="L1" s="18"/>
    </row>
    <row r="2" spans="1:12">
      <c r="A2" s="174"/>
      <c r="B2" s="174"/>
      <c r="C2" s="174"/>
      <c r="D2" s="174"/>
      <c r="E2" s="174"/>
      <c r="F2" s="174"/>
      <c r="G2" s="174"/>
      <c r="H2" s="174"/>
      <c r="I2" s="174"/>
      <c r="J2" s="18"/>
      <c r="K2" s="18"/>
      <c r="L2" s="18"/>
    </row>
    <row r="3" spans="1:12">
      <c r="A3" s="209"/>
      <c r="B3" s="209"/>
      <c r="C3" s="210"/>
      <c r="D3" s="155" t="s">
        <v>0</v>
      </c>
      <c r="E3" s="143"/>
      <c r="F3" s="155" t="s">
        <v>1</v>
      </c>
      <c r="G3" s="143"/>
      <c r="H3" s="155" t="s">
        <v>2</v>
      </c>
      <c r="I3" s="143"/>
    </row>
    <row r="4" spans="1:12">
      <c r="A4" s="209"/>
      <c r="B4" s="209"/>
      <c r="C4" s="210"/>
      <c r="D4" s="155"/>
      <c r="E4" s="143"/>
      <c r="F4" s="155"/>
      <c r="G4" s="143"/>
      <c r="H4" s="155"/>
      <c r="I4" s="143"/>
    </row>
    <row r="5" spans="1:12" ht="15">
      <c r="A5" s="205" t="s">
        <v>4</v>
      </c>
      <c r="B5" s="205"/>
      <c r="C5" s="205"/>
      <c r="D5" s="156">
        <v>7</v>
      </c>
      <c r="E5" s="156"/>
      <c r="F5" s="156">
        <v>9</v>
      </c>
      <c r="G5" s="156"/>
      <c r="H5" s="200">
        <f>(D5-F5)/F5</f>
        <v>-0.22222222222222221</v>
      </c>
      <c r="I5" s="200"/>
    </row>
    <row r="6" spans="1:12" ht="15">
      <c r="A6" s="206" t="s">
        <v>5</v>
      </c>
      <c r="B6" s="206"/>
      <c r="C6" s="206"/>
      <c r="D6" s="156">
        <v>3</v>
      </c>
      <c r="E6" s="156"/>
      <c r="F6" s="156" t="s">
        <v>22</v>
      </c>
      <c r="G6" s="156"/>
      <c r="H6" s="201">
        <f>(D6-N(F6))*100</f>
        <v>300</v>
      </c>
      <c r="I6" s="201"/>
    </row>
    <row r="7" spans="1:12" ht="15">
      <c r="A7" s="207" t="s">
        <v>8</v>
      </c>
      <c r="B7" s="207"/>
      <c r="C7" s="207"/>
      <c r="D7" s="156" t="s">
        <v>22</v>
      </c>
      <c r="E7" s="156"/>
      <c r="F7" s="156">
        <v>4</v>
      </c>
      <c r="G7" s="156"/>
      <c r="H7" s="202">
        <f>(N(D7)-F7)/F7</f>
        <v>-1</v>
      </c>
      <c r="I7" s="202"/>
    </row>
    <row r="8" spans="1:12" ht="15">
      <c r="A8" s="208" t="s">
        <v>9</v>
      </c>
      <c r="B8" s="208"/>
      <c r="C8" s="208"/>
      <c r="D8" s="156">
        <v>2</v>
      </c>
      <c r="E8" s="156"/>
      <c r="F8" s="156">
        <v>3</v>
      </c>
      <c r="G8" s="156"/>
      <c r="H8" s="200">
        <f>(D8-F8)/F8</f>
        <v>-0.33333333333333331</v>
      </c>
      <c r="I8" s="200"/>
    </row>
    <row r="9" spans="1:12" ht="15">
      <c r="A9" s="211" t="s">
        <v>10</v>
      </c>
      <c r="B9" s="211"/>
      <c r="C9" s="211"/>
      <c r="D9" s="156">
        <v>1</v>
      </c>
      <c r="E9" s="156"/>
      <c r="F9" s="156">
        <v>1</v>
      </c>
      <c r="G9" s="156"/>
      <c r="H9" s="201">
        <f>(D9-F9)</f>
        <v>0</v>
      </c>
      <c r="I9" s="201"/>
    </row>
    <row r="10" spans="1:12" ht="15">
      <c r="A10" s="212" t="s">
        <v>11</v>
      </c>
      <c r="B10" s="212"/>
      <c r="C10" s="212"/>
      <c r="D10" s="156" t="s">
        <v>22</v>
      </c>
      <c r="E10" s="156"/>
      <c r="F10" s="156">
        <v>3</v>
      </c>
      <c r="G10" s="156"/>
      <c r="H10" s="202">
        <f>(N(D10)-F10)/F10</f>
        <v>-1</v>
      </c>
      <c r="I10" s="202"/>
    </row>
    <row r="11" spans="1:12" ht="15">
      <c r="A11" s="213" t="s">
        <v>12</v>
      </c>
      <c r="B11" s="213"/>
      <c r="C11" s="213"/>
      <c r="D11" s="156">
        <v>4</v>
      </c>
      <c r="E11" s="156"/>
      <c r="F11" s="156">
        <v>1</v>
      </c>
      <c r="G11" s="156"/>
      <c r="H11" s="202">
        <f>(D11-F11)/F11</f>
        <v>3</v>
      </c>
      <c r="I11" s="202"/>
    </row>
    <row r="12" spans="1:12" ht="15">
      <c r="A12" s="214" t="s">
        <v>13</v>
      </c>
      <c r="B12" s="214"/>
      <c r="C12" s="214"/>
      <c r="D12" s="156">
        <v>3</v>
      </c>
      <c r="E12" s="156"/>
      <c r="F12" s="156">
        <v>2</v>
      </c>
      <c r="G12" s="156"/>
      <c r="H12" s="202">
        <f>(D12-F12)/F12</f>
        <v>0.5</v>
      </c>
      <c r="I12" s="202"/>
    </row>
    <row r="13" spans="1:12" ht="15">
      <c r="A13" s="115" t="s">
        <v>15</v>
      </c>
      <c r="B13" s="115"/>
      <c r="C13" s="116"/>
      <c r="D13" s="114">
        <f>SUM(D5:E12)</f>
        <v>20</v>
      </c>
      <c r="E13" s="116"/>
      <c r="F13" s="159">
        <f>SUM(F5:G12)</f>
        <v>23</v>
      </c>
      <c r="G13" s="159"/>
      <c r="H13" s="203">
        <f>(D13-F13)/F13</f>
        <v>-0.13043478260869565</v>
      </c>
      <c r="I13" s="204"/>
    </row>
    <row r="17" spans="4:4">
      <c r="D17" t="s">
        <v>27</v>
      </c>
    </row>
  </sheetData>
  <mergeCells count="41">
    <mergeCell ref="D8:E8"/>
    <mergeCell ref="D9:E9"/>
    <mergeCell ref="A11:C11"/>
    <mergeCell ref="A12:C12"/>
    <mergeCell ref="A13:C13"/>
    <mergeCell ref="D10:E10"/>
    <mergeCell ref="D11:E11"/>
    <mergeCell ref="D12:E12"/>
    <mergeCell ref="D13:E13"/>
    <mergeCell ref="F10:G10"/>
    <mergeCell ref="D3:E4"/>
    <mergeCell ref="F3:G4"/>
    <mergeCell ref="H3:I4"/>
    <mergeCell ref="A1:I2"/>
    <mergeCell ref="F5:G5"/>
    <mergeCell ref="A5:C5"/>
    <mergeCell ref="A6:C6"/>
    <mergeCell ref="A7:C7"/>
    <mergeCell ref="A8:C8"/>
    <mergeCell ref="A3:C4"/>
    <mergeCell ref="A9:C9"/>
    <mergeCell ref="A10:C10"/>
    <mergeCell ref="D5:E5"/>
    <mergeCell ref="D6:E6"/>
    <mergeCell ref="D7:E7"/>
    <mergeCell ref="F11:G11"/>
    <mergeCell ref="F12:G12"/>
    <mergeCell ref="F13:G13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F6:G6"/>
    <mergeCell ref="F7:G7"/>
    <mergeCell ref="F8:G8"/>
    <mergeCell ref="F9:G9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8"/>
  <sheetViews>
    <sheetView topLeftCell="A7" zoomScale="90" zoomScaleNormal="90" workbookViewId="0">
      <selection activeCell="M33" sqref="M33"/>
    </sheetView>
  </sheetViews>
  <sheetFormatPr defaultRowHeight="14.25"/>
  <cols>
    <col min="3" max="3" width="8.75" customWidth="1"/>
    <col min="5" max="5" width="8.875" customWidth="1"/>
    <col min="7" max="7" width="9.25" customWidth="1"/>
  </cols>
  <sheetData>
    <row r="1" spans="1:13" ht="15">
      <c r="A1" s="218" t="s">
        <v>29</v>
      </c>
      <c r="B1" s="218"/>
      <c r="C1" s="218"/>
      <c r="D1" s="218"/>
      <c r="E1" s="218"/>
      <c r="F1" s="218"/>
      <c r="G1" s="218"/>
      <c r="H1" s="218"/>
      <c r="I1" s="218"/>
      <c r="J1" s="1"/>
    </row>
    <row r="2" spans="1:13" ht="15">
      <c r="A2" s="215"/>
      <c r="B2" s="215"/>
      <c r="C2" s="216"/>
      <c r="D2" s="211" t="s">
        <v>0</v>
      </c>
      <c r="E2" s="211"/>
      <c r="F2" s="217" t="s">
        <v>1</v>
      </c>
      <c r="G2" s="73"/>
      <c r="H2" s="217" t="s">
        <v>2</v>
      </c>
      <c r="I2" s="73"/>
    </row>
    <row r="3" spans="1:13" ht="15">
      <c r="A3" s="219" t="s">
        <v>4</v>
      </c>
      <c r="B3" s="219"/>
      <c r="C3" s="219"/>
      <c r="D3" s="156">
        <v>119</v>
      </c>
      <c r="E3" s="156"/>
      <c r="F3" s="156">
        <v>119</v>
      </c>
      <c r="G3" s="156"/>
      <c r="H3" s="222">
        <f>(D3-F3)/F3</f>
        <v>0</v>
      </c>
      <c r="I3" s="222"/>
    </row>
    <row r="4" spans="1:13" ht="15">
      <c r="A4" s="213" t="s">
        <v>5</v>
      </c>
      <c r="B4" s="213"/>
      <c r="C4" s="213"/>
      <c r="D4" s="156">
        <v>23</v>
      </c>
      <c r="E4" s="156"/>
      <c r="F4" s="156">
        <v>15</v>
      </c>
      <c r="G4" s="156"/>
      <c r="H4" s="200">
        <f t="shared" ref="H4:H11" si="0">(D4-F4)/F4</f>
        <v>0.53333333333333333</v>
      </c>
      <c r="I4" s="200"/>
    </row>
    <row r="5" spans="1:13" ht="15">
      <c r="A5" s="207" t="s">
        <v>8</v>
      </c>
      <c r="B5" s="207"/>
      <c r="C5" s="207"/>
      <c r="D5" s="156">
        <v>16</v>
      </c>
      <c r="E5" s="156"/>
      <c r="F5" s="156">
        <v>13</v>
      </c>
      <c r="G5" s="156"/>
      <c r="H5" s="200">
        <f t="shared" si="0"/>
        <v>0.23076923076923078</v>
      </c>
      <c r="I5" s="200"/>
    </row>
    <row r="6" spans="1:13" ht="15">
      <c r="A6" s="208" t="s">
        <v>9</v>
      </c>
      <c r="B6" s="208"/>
      <c r="C6" s="208"/>
      <c r="D6" s="156">
        <v>64</v>
      </c>
      <c r="E6" s="156"/>
      <c r="F6" s="156">
        <v>43</v>
      </c>
      <c r="G6" s="156"/>
      <c r="H6" s="200">
        <f t="shared" si="0"/>
        <v>0.48837209302325579</v>
      </c>
      <c r="I6" s="200"/>
    </row>
    <row r="7" spans="1:13" ht="15">
      <c r="A7" s="159" t="s">
        <v>10</v>
      </c>
      <c r="B7" s="159"/>
      <c r="C7" s="159"/>
      <c r="D7" s="156">
        <v>11</v>
      </c>
      <c r="E7" s="156"/>
      <c r="F7" s="156">
        <v>17</v>
      </c>
      <c r="G7" s="156"/>
      <c r="H7" s="200">
        <f t="shared" si="0"/>
        <v>-0.35294117647058826</v>
      </c>
      <c r="I7" s="200"/>
    </row>
    <row r="8" spans="1:13" ht="15">
      <c r="A8" s="220" t="s">
        <v>11</v>
      </c>
      <c r="B8" s="220"/>
      <c r="C8" s="220"/>
      <c r="D8" s="156">
        <v>14</v>
      </c>
      <c r="E8" s="156"/>
      <c r="F8" s="156">
        <v>12</v>
      </c>
      <c r="G8" s="156"/>
      <c r="H8" s="200">
        <f>ROUNDDOWN((D8-F8)/F8, 3)</f>
        <v>0.16600000000000001</v>
      </c>
      <c r="I8" s="200"/>
    </row>
    <row r="9" spans="1:13" ht="15">
      <c r="A9" s="213" t="s">
        <v>12</v>
      </c>
      <c r="B9" s="213"/>
      <c r="C9" s="213"/>
      <c r="D9" s="156">
        <v>73</v>
      </c>
      <c r="E9" s="156"/>
      <c r="F9" s="156">
        <v>61</v>
      </c>
      <c r="G9" s="156"/>
      <c r="H9" s="200">
        <f t="shared" si="0"/>
        <v>0.19672131147540983</v>
      </c>
      <c r="I9" s="200"/>
    </row>
    <row r="10" spans="1:13" ht="15">
      <c r="A10" s="207" t="s">
        <v>13</v>
      </c>
      <c r="B10" s="207"/>
      <c r="C10" s="207"/>
      <c r="D10" s="156">
        <v>33</v>
      </c>
      <c r="E10" s="156"/>
      <c r="F10" s="156">
        <v>26</v>
      </c>
      <c r="G10" s="156"/>
      <c r="H10" s="200">
        <f t="shared" si="0"/>
        <v>0.26923076923076922</v>
      </c>
      <c r="I10" s="200"/>
    </row>
    <row r="11" spans="1:13" ht="15">
      <c r="A11" s="73" t="s">
        <v>15</v>
      </c>
      <c r="B11" s="73"/>
      <c r="C11" s="74"/>
      <c r="D11" s="217">
        <f>SUM(D3:E10)</f>
        <v>353</v>
      </c>
      <c r="E11" s="74"/>
      <c r="F11" s="73">
        <f>SUM(F3:G10)</f>
        <v>306</v>
      </c>
      <c r="G11" s="74"/>
      <c r="H11" s="221">
        <f t="shared" si="0"/>
        <v>0.15359477124183007</v>
      </c>
      <c r="I11" s="221"/>
      <c r="M11" s="13"/>
    </row>
    <row r="18" spans="13:13">
      <c r="M18" s="24"/>
    </row>
  </sheetData>
  <mergeCells count="41">
    <mergeCell ref="H9:I9"/>
    <mergeCell ref="H10:I10"/>
    <mergeCell ref="H11:I11"/>
    <mergeCell ref="H3:I3"/>
    <mergeCell ref="H4:I4"/>
    <mergeCell ref="H5:I5"/>
    <mergeCell ref="H6:I6"/>
    <mergeCell ref="H8:I8"/>
    <mergeCell ref="H7:I7"/>
    <mergeCell ref="D10:E10"/>
    <mergeCell ref="D11:E11"/>
    <mergeCell ref="F3:G3"/>
    <mergeCell ref="F4:G4"/>
    <mergeCell ref="F5:G5"/>
    <mergeCell ref="F6:G6"/>
    <mergeCell ref="F7:G7"/>
    <mergeCell ref="F8:G8"/>
    <mergeCell ref="F9:G9"/>
    <mergeCell ref="F10:G10"/>
    <mergeCell ref="F11:G11"/>
    <mergeCell ref="A9:C9"/>
    <mergeCell ref="A10:C10"/>
    <mergeCell ref="A11:C11"/>
    <mergeCell ref="D3:E3"/>
    <mergeCell ref="D4:E4"/>
    <mergeCell ref="D5:E5"/>
    <mergeCell ref="D6:E6"/>
    <mergeCell ref="D7:E7"/>
    <mergeCell ref="D8:E8"/>
    <mergeCell ref="D9:E9"/>
    <mergeCell ref="A3:C3"/>
    <mergeCell ref="A4:C4"/>
    <mergeCell ref="A5:C5"/>
    <mergeCell ref="A6:C6"/>
    <mergeCell ref="A7:C7"/>
    <mergeCell ref="A8:C8"/>
    <mergeCell ref="A2:C2"/>
    <mergeCell ref="D2:E2"/>
    <mergeCell ref="F2:G2"/>
    <mergeCell ref="H2:I2"/>
    <mergeCell ref="A1:I1"/>
  </mergeCells>
  <pageMargins left="0.7" right="0.7" top="0.75" bottom="0.75" header="0.3" footer="0.3"/>
  <pageSetup orientation="portrait" r:id="rId1"/>
  <ignoredErrors>
    <ignoredError sqref="H8" 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6"/>
  <sheetViews>
    <sheetView zoomScale="80" zoomScaleNormal="80" workbookViewId="0">
      <selection activeCell="I51" sqref="I51"/>
    </sheetView>
  </sheetViews>
  <sheetFormatPr defaultRowHeight="14.25"/>
  <cols>
    <col min="3" max="3" width="11.125" customWidth="1"/>
    <col min="5" max="5" width="11.75" customWidth="1"/>
    <col min="6" max="6" width="12.25" customWidth="1"/>
    <col min="7" max="7" width="10.625" customWidth="1"/>
    <col min="8" max="8" width="12.875" customWidth="1"/>
    <col min="9" max="9" width="10.25" customWidth="1"/>
    <col min="10" max="10" width="10.875" customWidth="1"/>
  </cols>
  <sheetData>
    <row r="1" spans="1:10">
      <c r="A1" s="184" t="s">
        <v>6</v>
      </c>
      <c r="B1" s="184"/>
      <c r="C1" s="185"/>
      <c r="D1" s="227" t="s">
        <v>0</v>
      </c>
      <c r="E1" s="49"/>
      <c r="F1" s="227" t="s">
        <v>1</v>
      </c>
      <c r="G1" s="49"/>
      <c r="H1" s="174" t="s">
        <v>30</v>
      </c>
      <c r="I1" s="174"/>
    </row>
    <row r="2" spans="1:10">
      <c r="A2" s="235"/>
      <c r="B2" s="235"/>
      <c r="C2" s="236"/>
      <c r="D2" s="227"/>
      <c r="E2" s="49"/>
      <c r="F2" s="227"/>
      <c r="G2" s="49"/>
      <c r="H2" s="174"/>
      <c r="I2" s="174"/>
    </row>
    <row r="3" spans="1:10">
      <c r="A3" s="237" t="s">
        <v>31</v>
      </c>
      <c r="B3" s="237"/>
      <c r="C3" s="237"/>
      <c r="D3" s="229">
        <v>46</v>
      </c>
      <c r="E3" s="229"/>
      <c r="F3" s="229">
        <v>38</v>
      </c>
      <c r="G3" s="229"/>
      <c r="H3" s="229">
        <v>27</v>
      </c>
      <c r="I3" s="229"/>
    </row>
    <row r="4" spans="1:10">
      <c r="A4" s="237"/>
      <c r="B4" s="237"/>
      <c r="C4" s="237"/>
      <c r="D4" s="229"/>
      <c r="E4" s="229"/>
      <c r="F4" s="229"/>
      <c r="G4" s="229"/>
      <c r="H4" s="229"/>
      <c r="I4" s="229"/>
    </row>
    <row r="5" spans="1:10">
      <c r="A5" s="230" t="s">
        <v>32</v>
      </c>
      <c r="B5" s="230"/>
      <c r="C5" s="230"/>
      <c r="D5" s="231">
        <v>67</v>
      </c>
      <c r="E5" s="232"/>
      <c r="F5" s="229">
        <v>71</v>
      </c>
      <c r="G5" s="229"/>
      <c r="H5" s="229">
        <v>38</v>
      </c>
      <c r="I5" s="229"/>
    </row>
    <row r="6" spans="1:10">
      <c r="A6" s="230"/>
      <c r="B6" s="230"/>
      <c r="C6" s="230"/>
      <c r="D6" s="233"/>
      <c r="E6" s="234"/>
      <c r="F6" s="229"/>
      <c r="G6" s="229"/>
      <c r="H6" s="229"/>
      <c r="I6" s="229"/>
    </row>
    <row r="7" spans="1:10">
      <c r="A7" s="228" t="s">
        <v>33</v>
      </c>
      <c r="B7" s="228"/>
      <c r="C7" s="228"/>
      <c r="D7" s="228">
        <f>SUM(D3:E6)+94</f>
        <v>207</v>
      </c>
      <c r="E7" s="228"/>
      <c r="F7" s="228">
        <f>SUM(F3:G6)+76</f>
        <v>185</v>
      </c>
      <c r="G7" s="228"/>
      <c r="H7" s="228">
        <f>SUM(H3:I6)+246</f>
        <v>311</v>
      </c>
      <c r="I7" s="228"/>
    </row>
    <row r="8" spans="1:10">
      <c r="A8" s="228"/>
      <c r="B8" s="228"/>
      <c r="C8" s="228"/>
      <c r="D8" s="228"/>
      <c r="E8" s="228"/>
      <c r="F8" s="228"/>
      <c r="G8" s="228"/>
      <c r="H8" s="228"/>
      <c r="I8" s="228"/>
    </row>
    <row r="12" spans="1:10">
      <c r="A12" s="226" t="s">
        <v>34</v>
      </c>
      <c r="B12" s="226"/>
      <c r="C12" s="226"/>
      <c r="D12" s="49"/>
      <c r="E12" s="227" t="s">
        <v>0</v>
      </c>
      <c r="F12" s="49"/>
      <c r="G12" s="227" t="s">
        <v>1</v>
      </c>
      <c r="H12" s="49"/>
      <c r="I12" s="174" t="s">
        <v>30</v>
      </c>
      <c r="J12" s="174"/>
    </row>
    <row r="13" spans="1:10">
      <c r="A13" s="226"/>
      <c r="B13" s="226"/>
      <c r="C13" s="226"/>
      <c r="D13" s="49"/>
      <c r="E13" s="227"/>
      <c r="F13" s="49"/>
      <c r="G13" s="227"/>
      <c r="H13" s="49"/>
      <c r="I13" s="174"/>
      <c r="J13" s="174"/>
    </row>
    <row r="14" spans="1:10" ht="15">
      <c r="A14" s="225" t="s">
        <v>18</v>
      </c>
      <c r="B14" s="225"/>
      <c r="C14" s="225"/>
      <c r="D14" s="225"/>
      <c r="E14" s="110">
        <v>2</v>
      </c>
      <c r="F14" s="112"/>
      <c r="G14" s="110">
        <v>8</v>
      </c>
      <c r="H14" s="112"/>
      <c r="I14" s="156">
        <v>7</v>
      </c>
      <c r="J14" s="156"/>
    </row>
    <row r="15" spans="1:10" ht="15">
      <c r="A15" s="223" t="s">
        <v>19</v>
      </c>
      <c r="B15" s="223"/>
      <c r="C15" s="223"/>
      <c r="D15" s="223"/>
      <c r="E15" s="110">
        <v>2</v>
      </c>
      <c r="F15" s="112"/>
      <c r="G15" s="110">
        <v>31</v>
      </c>
      <c r="H15" s="112"/>
      <c r="I15" s="156">
        <v>15</v>
      </c>
      <c r="J15" s="156"/>
    </row>
    <row r="16" spans="1:10" ht="15">
      <c r="A16" s="224" t="s">
        <v>35</v>
      </c>
      <c r="B16" s="224"/>
      <c r="C16" s="224"/>
      <c r="D16" s="224"/>
      <c r="E16" s="217">
        <f>SUM(E14:F15)/E15</f>
        <v>2</v>
      </c>
      <c r="F16" s="74"/>
      <c r="G16" s="217">
        <f>SUM(G14:H15)-35</f>
        <v>4</v>
      </c>
      <c r="H16" s="74"/>
      <c r="I16" s="211">
        <f>SUM(I14:J15)-17</f>
        <v>5</v>
      </c>
      <c r="J16" s="211"/>
    </row>
  </sheetData>
  <mergeCells count="32">
    <mergeCell ref="A1:C2"/>
    <mergeCell ref="D1:E2"/>
    <mergeCell ref="F1:G2"/>
    <mergeCell ref="H1:I2"/>
    <mergeCell ref="A3:C4"/>
    <mergeCell ref="D3:E4"/>
    <mergeCell ref="F3:G4"/>
    <mergeCell ref="F5:G6"/>
    <mergeCell ref="F7:G8"/>
    <mergeCell ref="H7:I8"/>
    <mergeCell ref="A5:C6"/>
    <mergeCell ref="H3:I4"/>
    <mergeCell ref="H5:I6"/>
    <mergeCell ref="D5:E6"/>
    <mergeCell ref="A12:D13"/>
    <mergeCell ref="E12:F13"/>
    <mergeCell ref="G12:H13"/>
    <mergeCell ref="I12:J13"/>
    <mergeCell ref="A7:C8"/>
    <mergeCell ref="D7:E8"/>
    <mergeCell ref="I15:J15"/>
    <mergeCell ref="I16:J16"/>
    <mergeCell ref="A15:D15"/>
    <mergeCell ref="A16:D16"/>
    <mergeCell ref="E14:F14"/>
    <mergeCell ref="E15:F15"/>
    <mergeCell ref="E16:F16"/>
    <mergeCell ref="G14:H14"/>
    <mergeCell ref="G15:H15"/>
    <mergeCell ref="G16:H16"/>
    <mergeCell ref="A14:D14"/>
    <mergeCell ref="I14:J14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8"/>
  <sheetViews>
    <sheetView zoomScale="90" zoomScaleNormal="90" workbookViewId="0">
      <selection activeCell="A2" sqref="A2:G10"/>
    </sheetView>
  </sheetViews>
  <sheetFormatPr defaultRowHeight="14.25"/>
  <cols>
    <col min="5" max="5" width="11.375" customWidth="1"/>
    <col min="6" max="6" width="11.25" customWidth="1"/>
    <col min="7" max="7" width="11.5" customWidth="1"/>
    <col min="9" max="9" width="11.75" customWidth="1"/>
  </cols>
  <sheetData>
    <row r="1" spans="1:9" ht="15">
      <c r="A1" s="218" t="s">
        <v>36</v>
      </c>
      <c r="B1" s="218"/>
      <c r="C1" s="218"/>
      <c r="D1" s="218"/>
      <c r="E1" s="218"/>
      <c r="F1" s="218"/>
      <c r="G1" s="218"/>
      <c r="H1" s="218"/>
      <c r="I1" s="218"/>
    </row>
    <row r="2" spans="1:9" ht="15">
      <c r="A2" s="247"/>
      <c r="B2" s="247"/>
      <c r="C2" s="247"/>
      <c r="D2" s="224" t="s">
        <v>0</v>
      </c>
      <c r="E2" s="224"/>
      <c r="F2" s="224" t="s">
        <v>1</v>
      </c>
      <c r="G2" s="224"/>
      <c r="H2" s="224" t="s">
        <v>2</v>
      </c>
      <c r="I2" s="224"/>
    </row>
    <row r="3" spans="1:9" ht="15">
      <c r="A3" s="244" t="s">
        <v>4</v>
      </c>
      <c r="B3" s="244"/>
      <c r="C3" s="244"/>
      <c r="D3" s="243">
        <v>3217</v>
      </c>
      <c r="E3" s="241"/>
      <c r="F3" s="243">
        <v>3888</v>
      </c>
      <c r="G3" s="241"/>
      <c r="H3" s="239">
        <f t="shared" ref="H3:H11" si="0">(D3-F3)/F3</f>
        <v>-0.17258230452674897</v>
      </c>
      <c r="I3" s="239"/>
    </row>
    <row r="4" spans="1:9" ht="15">
      <c r="A4" s="225" t="s">
        <v>5</v>
      </c>
      <c r="B4" s="225"/>
      <c r="C4" s="225"/>
      <c r="D4" s="241">
        <v>757</v>
      </c>
      <c r="E4" s="241"/>
      <c r="F4" s="241">
        <v>773</v>
      </c>
      <c r="G4" s="241"/>
      <c r="H4" s="239">
        <f t="shared" si="0"/>
        <v>-2.0698576972833119E-2</v>
      </c>
      <c r="I4" s="239"/>
    </row>
    <row r="5" spans="1:9" ht="15">
      <c r="A5" s="246" t="s">
        <v>8</v>
      </c>
      <c r="B5" s="246"/>
      <c r="C5" s="246"/>
      <c r="D5" s="241">
        <v>220</v>
      </c>
      <c r="E5" s="241"/>
      <c r="F5" s="241">
        <v>283</v>
      </c>
      <c r="G5" s="241"/>
      <c r="H5" s="239">
        <f t="shared" si="0"/>
        <v>-0.22261484098939929</v>
      </c>
      <c r="I5" s="239"/>
    </row>
    <row r="6" spans="1:9" ht="15">
      <c r="A6" s="249" t="s">
        <v>9</v>
      </c>
      <c r="B6" s="249"/>
      <c r="C6" s="249"/>
      <c r="D6" s="241">
        <v>262</v>
      </c>
      <c r="E6" s="241"/>
      <c r="F6" s="241">
        <v>311</v>
      </c>
      <c r="G6" s="241"/>
      <c r="H6" s="239">
        <f t="shared" si="0"/>
        <v>-0.15755627009646303</v>
      </c>
      <c r="I6" s="239"/>
    </row>
    <row r="7" spans="1:9" ht="15">
      <c r="A7" s="248" t="s">
        <v>10</v>
      </c>
      <c r="B7" s="248"/>
      <c r="C7" s="248"/>
      <c r="D7" s="241">
        <v>263</v>
      </c>
      <c r="E7" s="241"/>
      <c r="F7" s="241">
        <v>248</v>
      </c>
      <c r="G7" s="241"/>
      <c r="H7" s="238">
        <f t="shared" si="0"/>
        <v>6.0483870967741937E-2</v>
      </c>
      <c r="I7" s="238"/>
    </row>
    <row r="8" spans="1:9" ht="15">
      <c r="A8" s="244" t="s">
        <v>11</v>
      </c>
      <c r="B8" s="244"/>
      <c r="C8" s="244"/>
      <c r="D8" s="241">
        <v>237</v>
      </c>
      <c r="E8" s="241"/>
      <c r="F8" s="241">
        <v>235</v>
      </c>
      <c r="G8" s="241"/>
      <c r="H8" s="239">
        <f t="shared" si="0"/>
        <v>8.5106382978723406E-3</v>
      </c>
      <c r="I8" s="239"/>
    </row>
    <row r="9" spans="1:9" ht="15">
      <c r="A9" s="245" t="s">
        <v>12</v>
      </c>
      <c r="B9" s="245"/>
      <c r="C9" s="245"/>
      <c r="D9" s="241">
        <v>245</v>
      </c>
      <c r="E9" s="241"/>
      <c r="F9" s="241">
        <v>285</v>
      </c>
      <c r="G9" s="241"/>
      <c r="H9" s="239">
        <f t="shared" si="0"/>
        <v>-0.14035087719298245</v>
      </c>
      <c r="I9" s="239"/>
    </row>
    <row r="10" spans="1:9" ht="15">
      <c r="A10" s="246" t="s">
        <v>13</v>
      </c>
      <c r="B10" s="246"/>
      <c r="C10" s="246"/>
      <c r="D10" s="241">
        <v>624</v>
      </c>
      <c r="E10" s="241"/>
      <c r="F10" s="241">
        <v>552</v>
      </c>
      <c r="G10" s="241"/>
      <c r="H10" s="238">
        <f t="shared" si="0"/>
        <v>0.13043478260869565</v>
      </c>
      <c r="I10" s="238"/>
    </row>
    <row r="11" spans="1:9" ht="15">
      <c r="A11" s="224" t="s">
        <v>15</v>
      </c>
      <c r="B11" s="224"/>
      <c r="C11" s="224"/>
      <c r="D11" s="242">
        <f>SUM(D3:E10)</f>
        <v>5825</v>
      </c>
      <c r="E11" s="242"/>
      <c r="F11" s="242">
        <f>SUM(F3:G10)</f>
        <v>6575</v>
      </c>
      <c r="G11" s="224"/>
      <c r="H11" s="240">
        <f t="shared" si="0"/>
        <v>-0.11406844106463879</v>
      </c>
      <c r="I11" s="240"/>
    </row>
    <row r="16" spans="1:9" ht="14.25" customHeight="1">
      <c r="A16" s="18"/>
      <c r="B16" s="18"/>
      <c r="C16" s="18"/>
    </row>
    <row r="17" spans="1:3" ht="14.25" customHeight="1">
      <c r="A17" s="18"/>
      <c r="B17" s="18"/>
      <c r="C17" s="18"/>
    </row>
    <row r="18" spans="1:3" ht="14.25" customHeight="1"/>
  </sheetData>
  <mergeCells count="41">
    <mergeCell ref="A1:I1"/>
    <mergeCell ref="A3:C3"/>
    <mergeCell ref="A4:C4"/>
    <mergeCell ref="A5:C5"/>
    <mergeCell ref="A6:C6"/>
    <mergeCell ref="F2:G2"/>
    <mergeCell ref="H2:I2"/>
    <mergeCell ref="D2:E2"/>
    <mergeCell ref="D3:E3"/>
    <mergeCell ref="D4:E4"/>
    <mergeCell ref="D5:E5"/>
    <mergeCell ref="D6:E6"/>
    <mergeCell ref="H3:I3"/>
    <mergeCell ref="H4:I4"/>
    <mergeCell ref="H5:I5"/>
    <mergeCell ref="H6:I6"/>
    <mergeCell ref="A8:C8"/>
    <mergeCell ref="A9:C9"/>
    <mergeCell ref="A10:C10"/>
    <mergeCell ref="A11:C11"/>
    <mergeCell ref="A2:C2"/>
    <mergeCell ref="A7:C7"/>
    <mergeCell ref="D8:E8"/>
    <mergeCell ref="D9:E9"/>
    <mergeCell ref="D10:E10"/>
    <mergeCell ref="D11:E11"/>
    <mergeCell ref="F3:G3"/>
    <mergeCell ref="F4:G4"/>
    <mergeCell ref="F5:G5"/>
    <mergeCell ref="F6:G6"/>
    <mergeCell ref="F7:G7"/>
    <mergeCell ref="F8:G8"/>
    <mergeCell ref="D7:E7"/>
    <mergeCell ref="F9:G9"/>
    <mergeCell ref="F10:G10"/>
    <mergeCell ref="F11:G11"/>
    <mergeCell ref="H7:I7"/>
    <mergeCell ref="H8:I8"/>
    <mergeCell ref="H9:I9"/>
    <mergeCell ref="H10:I10"/>
    <mergeCell ref="H11:I1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5"/>
  <sheetViews>
    <sheetView tabSelected="1" zoomScale="70" zoomScaleNormal="70" workbookViewId="0">
      <selection activeCell="I44" sqref="I44"/>
    </sheetView>
  </sheetViews>
  <sheetFormatPr defaultRowHeight="14.25"/>
  <cols>
    <col min="5" max="5" width="13.75" customWidth="1"/>
    <col min="6" max="6" width="14.25" customWidth="1"/>
    <col min="7" max="7" width="15.125" customWidth="1"/>
    <col min="8" max="8" width="15.5" customWidth="1"/>
    <col min="9" max="9" width="15.75" customWidth="1"/>
  </cols>
  <sheetData>
    <row r="1" spans="1:12">
      <c r="A1" s="174" t="s">
        <v>37</v>
      </c>
      <c r="B1" s="174"/>
      <c r="C1" s="174"/>
      <c r="D1" s="174"/>
      <c r="E1" s="174"/>
      <c r="F1" s="174"/>
      <c r="G1" s="174"/>
      <c r="H1" s="174" t="s">
        <v>7</v>
      </c>
      <c r="I1" s="174"/>
      <c r="J1" s="18"/>
      <c r="K1" s="18"/>
      <c r="L1" s="18"/>
    </row>
    <row r="2" spans="1:12">
      <c r="A2" s="174"/>
      <c r="B2" s="174"/>
      <c r="C2" s="174"/>
      <c r="D2" s="174"/>
      <c r="E2" s="174"/>
      <c r="F2" s="174"/>
      <c r="G2" s="174"/>
      <c r="H2" s="174"/>
      <c r="I2" s="174"/>
      <c r="J2" s="18"/>
      <c r="K2" s="18"/>
      <c r="L2" s="18"/>
    </row>
    <row r="3" spans="1:12">
      <c r="A3" s="215"/>
      <c r="B3" s="215"/>
      <c r="C3" s="215"/>
      <c r="D3" s="216"/>
      <c r="E3" s="252" t="s">
        <v>0</v>
      </c>
      <c r="F3" s="265" t="s">
        <v>1</v>
      </c>
      <c r="G3" s="265" t="s">
        <v>2</v>
      </c>
      <c r="H3" s="265" t="s">
        <v>0</v>
      </c>
      <c r="I3" s="266" t="s">
        <v>1</v>
      </c>
    </row>
    <row r="4" spans="1:12">
      <c r="A4" s="215"/>
      <c r="B4" s="215"/>
      <c r="C4" s="215"/>
      <c r="D4" s="216"/>
      <c r="E4" s="252"/>
      <c r="F4" s="265"/>
      <c r="G4" s="265"/>
      <c r="H4" s="265"/>
      <c r="I4" s="266"/>
    </row>
    <row r="5" spans="1:12">
      <c r="A5" s="215"/>
      <c r="B5" s="215"/>
      <c r="C5" s="215"/>
      <c r="D5" s="216"/>
      <c r="E5" s="252"/>
      <c r="F5" s="265"/>
      <c r="G5" s="265"/>
      <c r="H5" s="265"/>
      <c r="I5" s="266"/>
    </row>
    <row r="6" spans="1:12" ht="15">
      <c r="A6" s="250" t="s">
        <v>4</v>
      </c>
      <c r="B6" s="250"/>
      <c r="C6" s="250"/>
      <c r="D6" s="251"/>
      <c r="E6" s="19">
        <v>28</v>
      </c>
      <c r="F6" s="19">
        <v>13</v>
      </c>
      <c r="G6" s="20">
        <f>(E6-F6)/F6</f>
        <v>1.1538461538461537</v>
      </c>
      <c r="H6" s="19">
        <v>65</v>
      </c>
      <c r="I6" s="19">
        <v>16</v>
      </c>
    </row>
    <row r="7" spans="1:12" ht="15">
      <c r="A7" s="259" t="s">
        <v>5</v>
      </c>
      <c r="B7" s="259"/>
      <c r="C7" s="259"/>
      <c r="D7" s="260"/>
      <c r="E7" s="19">
        <v>12</v>
      </c>
      <c r="F7" s="19">
        <v>17</v>
      </c>
      <c r="G7" s="20">
        <f>(E7-F7)/F7</f>
        <v>-0.29411764705882354</v>
      </c>
      <c r="H7" s="19">
        <v>14</v>
      </c>
      <c r="I7" s="19">
        <v>18</v>
      </c>
    </row>
    <row r="8" spans="1:12" ht="15">
      <c r="A8" s="253" t="s">
        <v>8</v>
      </c>
      <c r="B8" s="253"/>
      <c r="C8" s="253"/>
      <c r="D8" s="254"/>
      <c r="E8" s="19">
        <v>1</v>
      </c>
      <c r="F8" s="19">
        <v>11</v>
      </c>
      <c r="G8" s="20">
        <f>(E8-F8)/F8</f>
        <v>-0.90909090909090906</v>
      </c>
      <c r="H8" s="19">
        <v>2</v>
      </c>
      <c r="I8" s="19">
        <v>23</v>
      </c>
    </row>
    <row r="9" spans="1:12" ht="15">
      <c r="A9" s="255" t="s">
        <v>9</v>
      </c>
      <c r="B9" s="255"/>
      <c r="C9" s="255"/>
      <c r="D9" s="256"/>
      <c r="E9" s="19">
        <v>17</v>
      </c>
      <c r="F9" s="19">
        <v>8</v>
      </c>
      <c r="G9" s="20">
        <f t="shared" ref="G9:G14" si="0">(E9-F9)/F9</f>
        <v>1.125</v>
      </c>
      <c r="H9" s="19">
        <v>42</v>
      </c>
      <c r="I9" s="19">
        <v>10</v>
      </c>
    </row>
    <row r="10" spans="1:12" ht="15">
      <c r="A10" s="261" t="s">
        <v>10</v>
      </c>
      <c r="B10" s="261"/>
      <c r="C10" s="261"/>
      <c r="D10" s="262"/>
      <c r="E10" s="19">
        <v>21</v>
      </c>
      <c r="F10" s="19">
        <v>23</v>
      </c>
      <c r="G10" s="20">
        <f t="shared" si="0"/>
        <v>-8.6956521739130432E-2</v>
      </c>
      <c r="H10" s="19">
        <v>29</v>
      </c>
      <c r="I10" s="19">
        <v>28</v>
      </c>
    </row>
    <row r="11" spans="1:12" ht="15">
      <c r="A11" s="263" t="s">
        <v>11</v>
      </c>
      <c r="B11" s="263"/>
      <c r="C11" s="263"/>
      <c r="D11" s="264"/>
      <c r="E11" s="19">
        <v>18</v>
      </c>
      <c r="F11" s="19">
        <v>12</v>
      </c>
      <c r="G11" s="21">
        <f t="shared" si="0"/>
        <v>0.5</v>
      </c>
      <c r="H11" s="19">
        <v>25</v>
      </c>
      <c r="I11" s="19">
        <v>14</v>
      </c>
    </row>
    <row r="12" spans="1:12" ht="15">
      <c r="A12" s="259" t="s">
        <v>12</v>
      </c>
      <c r="B12" s="259"/>
      <c r="C12" s="259"/>
      <c r="D12" s="260"/>
      <c r="E12" s="19">
        <v>10</v>
      </c>
      <c r="F12" s="19">
        <v>18</v>
      </c>
      <c r="G12" s="20">
        <f t="shared" si="0"/>
        <v>-0.44444444444444442</v>
      </c>
      <c r="H12" s="19">
        <v>12</v>
      </c>
      <c r="I12" s="19">
        <v>28</v>
      </c>
    </row>
    <row r="13" spans="1:12" ht="15">
      <c r="A13" s="253" t="s">
        <v>13</v>
      </c>
      <c r="B13" s="253"/>
      <c r="C13" s="253"/>
      <c r="D13" s="254"/>
      <c r="E13" s="19">
        <v>43</v>
      </c>
      <c r="F13" s="19">
        <v>13</v>
      </c>
      <c r="G13" s="20">
        <f t="shared" si="0"/>
        <v>2.3076923076923075</v>
      </c>
      <c r="H13" s="19">
        <v>44</v>
      </c>
      <c r="I13" s="19">
        <v>16</v>
      </c>
    </row>
    <row r="14" spans="1:12" ht="15">
      <c r="A14" s="255" t="s">
        <v>14</v>
      </c>
      <c r="B14" s="255"/>
      <c r="C14" s="255"/>
      <c r="D14" s="256"/>
      <c r="E14" s="19">
        <v>56</v>
      </c>
      <c r="F14" s="19">
        <v>11</v>
      </c>
      <c r="G14" s="20">
        <f t="shared" si="0"/>
        <v>4.0909090909090908</v>
      </c>
      <c r="H14" s="19">
        <v>130</v>
      </c>
      <c r="I14" s="19">
        <v>32</v>
      </c>
    </row>
    <row r="15" spans="1:12" ht="15">
      <c r="A15" s="257" t="s">
        <v>15</v>
      </c>
      <c r="B15" s="257"/>
      <c r="C15" s="257"/>
      <c r="D15" s="258"/>
      <c r="E15" s="22">
        <f>SUM(E6:E14)</f>
        <v>206</v>
      </c>
      <c r="F15" s="26">
        <f>SUM(F6:F14)</f>
        <v>126</v>
      </c>
      <c r="G15" s="25">
        <f>(E15-F15)/F15</f>
        <v>0.63492063492063489</v>
      </c>
      <c r="H15" s="23">
        <f>SUM(H6:H14)</f>
        <v>363</v>
      </c>
      <c r="I15" s="23">
        <f>SUM(I6:I14)</f>
        <v>185</v>
      </c>
    </row>
  </sheetData>
  <mergeCells count="18">
    <mergeCell ref="H3:H5"/>
    <mergeCell ref="H1:I2"/>
    <mergeCell ref="I3:I5"/>
    <mergeCell ref="A14:D14"/>
    <mergeCell ref="A15:D15"/>
    <mergeCell ref="A7:D7"/>
    <mergeCell ref="A8:D8"/>
    <mergeCell ref="A9:D9"/>
    <mergeCell ref="A10:D10"/>
    <mergeCell ref="A11:D11"/>
    <mergeCell ref="A12:D12"/>
    <mergeCell ref="A3:D5"/>
    <mergeCell ref="A6:D6"/>
    <mergeCell ref="A1:G2"/>
    <mergeCell ref="E3:E5"/>
    <mergeCell ref="A13:D13"/>
    <mergeCell ref="F3:F5"/>
    <mergeCell ref="G3:G5"/>
  </mergeCells>
  <pageMargins left="0.7" right="0.7" top="0.75" bottom="0.75" header="0.3" footer="0.3"/>
  <pageSetup orientation="portrait" r:id="rId1"/>
  <ignoredErrors>
    <ignoredError sqref="G15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Вкупен криминалитетот</vt:lpstr>
      <vt:lpstr>Недозволена трговија со дрога</vt:lpstr>
      <vt:lpstr>Криумчарење на мигранти</vt:lpstr>
      <vt:lpstr>Организиран криминал</vt:lpstr>
      <vt:lpstr>Кривични дела против државата</vt:lpstr>
      <vt:lpstr>Убиства</vt:lpstr>
      <vt:lpstr>Насилство</vt:lpstr>
      <vt:lpstr>Tрговија со луѓе</vt:lpstr>
      <vt:lpstr>Тешки кражби</vt:lpstr>
      <vt:lpstr>Корупција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Grujo</dc:creator>
  <cp:lastModifiedBy>Grujo</cp:lastModifiedBy>
  <dcterms:created xsi:type="dcterms:W3CDTF">2026-07-23T14:13:13Z</dcterms:created>
  <dcterms:modified xsi:type="dcterms:W3CDTF">2026-08-12T15:53:03Z</dcterms:modified>
</cp:coreProperties>
</file>